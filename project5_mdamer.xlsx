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fe901dc81da1df/Documents/assignments_mdamer/"/>
    </mc:Choice>
  </mc:AlternateContent>
  <xr:revisionPtr revIDLastSave="3" documentId="8_{FEA67E62-C2A0-4AF3-8C03-660C8ED4D25F}" xr6:coauthVersionLast="47" xr6:coauthVersionMax="47" xr10:uidLastSave="{DBC5DCA2-E556-43B1-B99E-230CCE63DE22}"/>
  <bookViews>
    <workbookView xWindow="-110" yWindow="-110" windowWidth="19420" windowHeight="10300" firstSheet="2" activeTab="3" xr2:uid="{094164AA-EC00-45CC-92BF-26BE65DEA721}"/>
  </bookViews>
  <sheets>
    <sheet name="p1_raw data" sheetId="1" r:id="rId1"/>
    <sheet name="P1_Tasks" sheetId="2" r:id="rId2"/>
    <sheet name="copy of raw data" sheetId="3" r:id="rId3"/>
    <sheet name="p1_answers" sheetId="4" r:id="rId4"/>
    <sheet name="p1_answers2" sheetId="5" r:id="rId5"/>
    <sheet name="p1_answers3" sheetId="6" r:id="rId6"/>
  </sheets>
  <definedNames>
    <definedName name="_xlnm._FilterDatabase" localSheetId="4" hidden="1">p1_answers2!$R$3:$Z$28</definedName>
    <definedName name="_xlnm._FilterDatabase" localSheetId="5" hidden="1">p1_answers3!$A$1:$C$26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3" i="4"/>
  <c r="E39" i="4"/>
  <c r="E38" i="4"/>
  <c r="F31" i="4"/>
  <c r="F30" i="4"/>
  <c r="F29" i="4"/>
  <c r="F28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" i="4"/>
  <c r="U9" i="6"/>
  <c r="T9" i="6"/>
  <c r="S9" i="6"/>
  <c r="R9" i="6"/>
  <c r="Q9" i="6"/>
  <c r="U8" i="6"/>
  <c r="T8" i="6"/>
  <c r="S8" i="6"/>
  <c r="R8" i="6"/>
  <c r="Q8" i="6"/>
  <c r="G8" i="6"/>
  <c r="U7" i="6"/>
  <c r="T7" i="6"/>
  <c r="S7" i="6"/>
  <c r="R7" i="6"/>
  <c r="Q7" i="6"/>
  <c r="G7" i="6"/>
  <c r="U6" i="6"/>
  <c r="T6" i="6"/>
  <c r="S6" i="6"/>
  <c r="R6" i="6"/>
  <c r="Q6" i="6"/>
  <c r="G6" i="6"/>
  <c r="U5" i="6"/>
  <c r="T5" i="6"/>
  <c r="S5" i="6"/>
  <c r="R5" i="6"/>
  <c r="Q5" i="6"/>
  <c r="G5" i="6"/>
  <c r="G4" i="6"/>
  <c r="E40" i="4"/>
  <c r="S30" i="4"/>
  <c r="R30" i="4"/>
  <c r="Q30" i="4"/>
  <c r="S29" i="4"/>
  <c r="R29" i="4"/>
  <c r="Q29" i="4"/>
  <c r="S28" i="4"/>
  <c r="R28" i="4"/>
  <c r="Q28" i="4"/>
  <c r="V27" i="4"/>
  <c r="U27" i="4"/>
  <c r="T27" i="4"/>
  <c r="S27" i="4"/>
  <c r="R27" i="4"/>
  <c r="Q27" i="4"/>
  <c r="P27" i="4"/>
  <c r="O27" i="4"/>
  <c r="N27" i="4"/>
  <c r="M27" i="4"/>
  <c r="J27" i="4"/>
  <c r="V26" i="4"/>
  <c r="U26" i="4"/>
  <c r="T26" i="4"/>
  <c r="S26" i="4"/>
  <c r="R26" i="4"/>
  <c r="Q26" i="4"/>
  <c r="P26" i="4"/>
  <c r="O26" i="4"/>
  <c r="N26" i="4"/>
  <c r="M26" i="4"/>
  <c r="J26" i="4"/>
  <c r="V25" i="4"/>
  <c r="U25" i="4"/>
  <c r="T25" i="4"/>
  <c r="S25" i="4"/>
  <c r="R25" i="4"/>
  <c r="Q25" i="4"/>
  <c r="P25" i="4"/>
  <c r="O25" i="4"/>
  <c r="N25" i="4"/>
  <c r="M25" i="4"/>
  <c r="J25" i="4"/>
  <c r="V24" i="4"/>
  <c r="U24" i="4"/>
  <c r="T24" i="4"/>
  <c r="S24" i="4"/>
  <c r="R24" i="4"/>
  <c r="Q24" i="4"/>
  <c r="P24" i="4"/>
  <c r="O24" i="4"/>
  <c r="N24" i="4"/>
  <c r="M24" i="4"/>
  <c r="J24" i="4"/>
  <c r="V23" i="4"/>
  <c r="U23" i="4"/>
  <c r="T23" i="4"/>
  <c r="S23" i="4"/>
  <c r="R23" i="4"/>
  <c r="Q23" i="4"/>
  <c r="P23" i="4"/>
  <c r="O23" i="4"/>
  <c r="N23" i="4"/>
  <c r="M23" i="4"/>
  <c r="J23" i="4"/>
  <c r="V22" i="4"/>
  <c r="U22" i="4"/>
  <c r="T22" i="4"/>
  <c r="S22" i="4"/>
  <c r="R22" i="4"/>
  <c r="Q22" i="4"/>
  <c r="P22" i="4"/>
  <c r="O22" i="4"/>
  <c r="N22" i="4"/>
  <c r="M22" i="4"/>
  <c r="J22" i="4"/>
  <c r="V21" i="4"/>
  <c r="U21" i="4"/>
  <c r="T21" i="4"/>
  <c r="S21" i="4"/>
  <c r="R21" i="4"/>
  <c r="Q21" i="4"/>
  <c r="P21" i="4"/>
  <c r="O21" i="4"/>
  <c r="N21" i="4"/>
  <c r="M21" i="4"/>
  <c r="J21" i="4"/>
  <c r="V20" i="4"/>
  <c r="U20" i="4"/>
  <c r="T20" i="4"/>
  <c r="S20" i="4"/>
  <c r="R20" i="4"/>
  <c r="Q20" i="4"/>
  <c r="P20" i="4"/>
  <c r="O20" i="4"/>
  <c r="N20" i="4"/>
  <c r="M20" i="4"/>
  <c r="J20" i="4"/>
  <c r="V19" i="4"/>
  <c r="U19" i="4"/>
  <c r="T19" i="4"/>
  <c r="S19" i="4"/>
  <c r="R19" i="4"/>
  <c r="Q19" i="4"/>
  <c r="P19" i="4"/>
  <c r="O19" i="4"/>
  <c r="N19" i="4"/>
  <c r="M19" i="4"/>
  <c r="J19" i="4"/>
  <c r="V18" i="4"/>
  <c r="U18" i="4"/>
  <c r="T18" i="4"/>
  <c r="S18" i="4"/>
  <c r="R18" i="4"/>
  <c r="Q18" i="4"/>
  <c r="P18" i="4"/>
  <c r="O18" i="4"/>
  <c r="N18" i="4"/>
  <c r="M18" i="4"/>
  <c r="J18" i="4"/>
  <c r="V17" i="4"/>
  <c r="U17" i="4"/>
  <c r="T17" i="4"/>
  <c r="S17" i="4"/>
  <c r="R17" i="4"/>
  <c r="Q17" i="4"/>
  <c r="P17" i="4"/>
  <c r="O17" i="4"/>
  <c r="N17" i="4"/>
  <c r="M17" i="4"/>
  <c r="J17" i="4"/>
  <c r="V16" i="4"/>
  <c r="U16" i="4"/>
  <c r="T16" i="4"/>
  <c r="S16" i="4"/>
  <c r="R16" i="4"/>
  <c r="Q16" i="4"/>
  <c r="P16" i="4"/>
  <c r="O16" i="4"/>
  <c r="N16" i="4"/>
  <c r="M16" i="4"/>
  <c r="J16" i="4"/>
  <c r="V15" i="4"/>
  <c r="U15" i="4"/>
  <c r="T15" i="4"/>
  <c r="S15" i="4"/>
  <c r="R15" i="4"/>
  <c r="Q15" i="4"/>
  <c r="P15" i="4"/>
  <c r="O15" i="4"/>
  <c r="N15" i="4"/>
  <c r="M15" i="4"/>
  <c r="J15" i="4"/>
  <c r="V14" i="4"/>
  <c r="U14" i="4"/>
  <c r="T14" i="4"/>
  <c r="S14" i="4"/>
  <c r="R14" i="4"/>
  <c r="Q14" i="4"/>
  <c r="P14" i="4"/>
  <c r="O14" i="4"/>
  <c r="N14" i="4"/>
  <c r="M14" i="4"/>
  <c r="J14" i="4"/>
  <c r="V13" i="4"/>
  <c r="U13" i="4"/>
  <c r="T13" i="4"/>
  <c r="S13" i="4"/>
  <c r="R13" i="4"/>
  <c r="Q13" i="4"/>
  <c r="P13" i="4"/>
  <c r="O13" i="4"/>
  <c r="N13" i="4"/>
  <c r="M13" i="4"/>
  <c r="J13" i="4"/>
  <c r="V12" i="4"/>
  <c r="U12" i="4"/>
  <c r="T12" i="4"/>
  <c r="S12" i="4"/>
  <c r="R12" i="4"/>
  <c r="Q12" i="4"/>
  <c r="P12" i="4"/>
  <c r="O12" i="4"/>
  <c r="N12" i="4"/>
  <c r="M12" i="4"/>
  <c r="J12" i="4"/>
  <c r="V11" i="4"/>
  <c r="U11" i="4"/>
  <c r="T11" i="4"/>
  <c r="S11" i="4"/>
  <c r="R11" i="4"/>
  <c r="Q11" i="4"/>
  <c r="P11" i="4"/>
  <c r="O11" i="4"/>
  <c r="N11" i="4"/>
  <c r="M11" i="4"/>
  <c r="J11" i="4"/>
  <c r="V10" i="4"/>
  <c r="U10" i="4"/>
  <c r="T10" i="4"/>
  <c r="S10" i="4"/>
  <c r="R10" i="4"/>
  <c r="Q10" i="4"/>
  <c r="P10" i="4"/>
  <c r="O10" i="4"/>
  <c r="N10" i="4"/>
  <c r="M10" i="4"/>
  <c r="J10" i="4"/>
  <c r="V9" i="4"/>
  <c r="U9" i="4"/>
  <c r="T9" i="4"/>
  <c r="S9" i="4"/>
  <c r="R9" i="4"/>
  <c r="Q9" i="4"/>
  <c r="P9" i="4"/>
  <c r="O9" i="4"/>
  <c r="N9" i="4"/>
  <c r="M9" i="4"/>
  <c r="J9" i="4"/>
  <c r="V8" i="4"/>
  <c r="U8" i="4"/>
  <c r="T8" i="4"/>
  <c r="S8" i="4"/>
  <c r="R8" i="4"/>
  <c r="Q8" i="4"/>
  <c r="P8" i="4"/>
  <c r="O8" i="4"/>
  <c r="N8" i="4"/>
  <c r="M8" i="4"/>
  <c r="J8" i="4"/>
  <c r="V7" i="4"/>
  <c r="U7" i="4"/>
  <c r="T7" i="4"/>
  <c r="S7" i="4"/>
  <c r="R7" i="4"/>
  <c r="Q7" i="4"/>
  <c r="P7" i="4"/>
  <c r="O7" i="4"/>
  <c r="N7" i="4"/>
  <c r="M7" i="4"/>
  <c r="J7" i="4"/>
  <c r="V6" i="4"/>
  <c r="U6" i="4"/>
  <c r="T6" i="4"/>
  <c r="S6" i="4"/>
  <c r="R6" i="4"/>
  <c r="Q6" i="4"/>
  <c r="P6" i="4"/>
  <c r="O6" i="4"/>
  <c r="N6" i="4"/>
  <c r="M6" i="4"/>
  <c r="J6" i="4"/>
  <c r="V5" i="4"/>
  <c r="U5" i="4"/>
  <c r="T5" i="4"/>
  <c r="S5" i="4"/>
  <c r="R5" i="4"/>
  <c r="Q5" i="4"/>
  <c r="P5" i="4"/>
  <c r="O5" i="4"/>
  <c r="N5" i="4"/>
  <c r="M5" i="4"/>
  <c r="J5" i="4"/>
  <c r="V4" i="4"/>
  <c r="U4" i="4"/>
  <c r="T4" i="4"/>
  <c r="S4" i="4"/>
  <c r="R4" i="4"/>
  <c r="Q4" i="4"/>
  <c r="P4" i="4"/>
  <c r="O4" i="4"/>
  <c r="N4" i="4"/>
  <c r="M4" i="4"/>
  <c r="J4" i="4"/>
  <c r="V3" i="4"/>
  <c r="U3" i="4"/>
  <c r="T3" i="4"/>
  <c r="S3" i="4"/>
  <c r="R3" i="4"/>
  <c r="Q3" i="4"/>
  <c r="P3" i="4"/>
  <c r="O3" i="4"/>
  <c r="N3" i="4"/>
  <c r="M3" i="4"/>
  <c r="J3" i="4"/>
</calcChain>
</file>

<file path=xl/sharedStrings.xml><?xml version="1.0" encoding="utf-8"?>
<sst xmlns="http://schemas.openxmlformats.org/spreadsheetml/2006/main" count="628" uniqueCount="122">
  <si>
    <t>Employee ID</t>
  </si>
  <si>
    <t>Employee Name</t>
  </si>
  <si>
    <t>Department</t>
  </si>
  <si>
    <t>City</t>
  </si>
  <si>
    <t>Joining Date</t>
  </si>
  <si>
    <t>Salary</t>
  </si>
  <si>
    <t>Bonus %</t>
  </si>
  <si>
    <t>Performance Score</t>
  </si>
  <si>
    <t>Training Hours</t>
  </si>
  <si>
    <t>E101</t>
  </si>
  <si>
    <t>Aisha Khan</t>
  </si>
  <si>
    <t>Operations</t>
  </si>
  <si>
    <t>Hyderabad</t>
  </si>
  <si>
    <t>E102</t>
  </si>
  <si>
    <t>Rohan Mehta</t>
  </si>
  <si>
    <t>Sales</t>
  </si>
  <si>
    <t>Mumbai</t>
  </si>
  <si>
    <t>E103</t>
  </si>
  <si>
    <t>Neha Rao</t>
  </si>
  <si>
    <t>Finance</t>
  </si>
  <si>
    <t>Bengaluru</t>
  </si>
  <si>
    <t>E104</t>
  </si>
  <si>
    <t>Arjun Patel</t>
  </si>
  <si>
    <t>IT</t>
  </si>
  <si>
    <t>Pune</t>
  </si>
  <si>
    <t>E105</t>
  </si>
  <si>
    <t>Sara Ali</t>
  </si>
  <si>
    <t>HR</t>
  </si>
  <si>
    <t>Delhi</t>
  </si>
  <si>
    <t>E106</t>
  </si>
  <si>
    <t>Vikram Singh</t>
  </si>
  <si>
    <t>E107</t>
  </si>
  <si>
    <t>Meera Iyer</t>
  </si>
  <si>
    <t>Chennai</t>
  </si>
  <si>
    <t>E108</t>
  </si>
  <si>
    <t>Kabir Shah</t>
  </si>
  <si>
    <t>E109</t>
  </si>
  <si>
    <t>Nisha Verma</t>
  </si>
  <si>
    <t>E110</t>
  </si>
  <si>
    <t>Adil Hussain</t>
  </si>
  <si>
    <t>E111</t>
  </si>
  <si>
    <t>Pooja Nair</t>
  </si>
  <si>
    <t>E112</t>
  </si>
  <si>
    <t>Dev Malhotra</t>
  </si>
  <si>
    <t>E113</t>
  </si>
  <si>
    <t>Ishita Bose</t>
  </si>
  <si>
    <t>Kolkata</t>
  </si>
  <si>
    <t>E114</t>
  </si>
  <si>
    <t>Rahul Das</t>
  </si>
  <si>
    <t>E115</t>
  </si>
  <si>
    <t>Tanya Kapoor</t>
  </si>
  <si>
    <t>E116</t>
  </si>
  <si>
    <t>Omar Farooq</t>
  </si>
  <si>
    <t>E117</t>
  </si>
  <si>
    <t>Ananya Sen</t>
  </si>
  <si>
    <t>E118</t>
  </si>
  <si>
    <t>Karan Joshi</t>
  </si>
  <si>
    <t>E119</t>
  </si>
  <si>
    <t>Maya Thomas</t>
  </si>
  <si>
    <t>E120</t>
  </si>
  <si>
    <t>Sameer Khan</t>
  </si>
  <si>
    <t>E121</t>
  </si>
  <si>
    <t>Riya Gupta</t>
  </si>
  <si>
    <t>E122</t>
  </si>
  <si>
    <t>Zaid Ahmed</t>
  </si>
  <si>
    <t>E123</t>
  </si>
  <si>
    <t>Priya Menon</t>
  </si>
  <si>
    <t>E124</t>
  </si>
  <si>
    <t>Manav Bhat</t>
  </si>
  <si>
    <t>E125</t>
  </si>
  <si>
    <t>Sana Qureshi</t>
  </si>
  <si>
    <t>Task #</t>
  </si>
  <si>
    <t>Task</t>
  </si>
  <si>
    <t>Create a title above the data using Merge &amp; Center. Apply suitable formatting.</t>
  </si>
  <si>
    <t>Format Joining Date as date, Salary as currency, Bonus % as percentage. Apply borders and Wrap Text where useful.</t>
  </si>
  <si>
    <t>Use Format Painter to copy header formatting to a small summary table you create.</t>
  </si>
  <si>
    <t>Create Bonus Amount = Salary × Bonus %. Use relative references and Autofill.</t>
  </si>
  <si>
    <t>Put a fixed tax rate of 10% in one cell and calculate Net Salary using an absolute reference to that cell.</t>
  </si>
  <si>
    <t>Put a fixed raise rate of 5% in one cell and calculate Salary After Raise using an absolute reference.</t>
  </si>
  <si>
    <t>Use SUM, AVERAGE, MIN and MAX on Salary.</t>
  </si>
  <si>
    <t>Use COUNT on Salary, COUNTA on Employee Name, and COUNTBLANK on a small test range containing one blank.</t>
  </si>
  <si>
    <t>Use ROUND to round Bonus Amount to the nearest whole rupee.</t>
  </si>
  <si>
    <t>Create Performance Status: Score &gt;= 80 = Good, otherwise Needs Improvement, using IF.</t>
  </si>
  <si>
    <t>Create a status using IF + AND: Score &gt;= 80 AND Training Hours &gt;= 9 = Ready, otherwise Developing.</t>
  </si>
  <si>
    <t>Create a location flag using IF + OR: City is Hyderabad OR Bengaluru = Key City, otherwise Other.</t>
  </si>
  <si>
    <t>Use NOT to return Non-IT when Department is not IT, otherwise IT.</t>
  </si>
  <si>
    <t>Use LEFT, RIGHT, MID and LEN on Employee ID. Use FIND to locate the space in Employee Name.</t>
  </si>
  <si>
    <t>Use CONCATENATE or CONCAT to create a label such as E101 - Aisha Khan.</t>
  </si>
  <si>
    <t>Use Find &amp; Replace to locate/replace a value on a copied range, then undo.</t>
  </si>
  <si>
    <t>Sort by Performance Score largest to smallest and filter to IT employees.</t>
  </si>
  <si>
    <t>Freeze the top row and verify the header stays visible while scrolling.</t>
  </si>
  <si>
    <t>Use AVERAGEIF to calculate average Performance Score for each Department.</t>
  </si>
  <si>
    <t>Build a small multiplication table that requires relative, absolute and mixed references when autofilled.</t>
  </si>
  <si>
    <t xml:space="preserve">Employee details </t>
  </si>
  <si>
    <t>Bonus amount</t>
  </si>
  <si>
    <t>Net salary</t>
  </si>
  <si>
    <t>Total salary</t>
  </si>
  <si>
    <t>Performance status</t>
  </si>
  <si>
    <t>Status</t>
  </si>
  <si>
    <t>Location flag</t>
  </si>
  <si>
    <t>IT dep.</t>
  </si>
  <si>
    <t>Left</t>
  </si>
  <si>
    <t>right</t>
  </si>
  <si>
    <t>mid</t>
  </si>
  <si>
    <t>len</t>
  </si>
  <si>
    <t xml:space="preserve">using Find </t>
  </si>
  <si>
    <t>name_id</t>
  </si>
  <si>
    <t xml:space="preserve">sum </t>
  </si>
  <si>
    <t xml:space="preserve">min </t>
  </si>
  <si>
    <t>max</t>
  </si>
  <si>
    <t xml:space="preserve">average </t>
  </si>
  <si>
    <t>count</t>
  </si>
  <si>
    <t>countA</t>
  </si>
  <si>
    <t>countblank</t>
  </si>
  <si>
    <t>test range for count blank</t>
  </si>
  <si>
    <t xml:space="preserve"> #used format painting here </t>
  </si>
  <si>
    <t xml:space="preserve">#also used find and replace to replace sales with sales sector </t>
  </si>
  <si>
    <t>sales sector</t>
  </si>
  <si>
    <t>average</t>
  </si>
  <si>
    <t>*</t>
  </si>
  <si>
    <t>Developing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</si>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</sst>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dd\-mmm\-yyyy"/>
    <numFmt numFmtId="165" formatCode="\₹#,##0"/>
    <numFmt numFmtId="166" formatCode="_-[$$-409]* #,##0_ ;_-[$$-409]* \-#,##0\ ;_-[$$-409]* &quot;-&quot;??_ ;_-@_ "/>
    <numFmt numFmtId="167" formatCode="&quot;₹&quot;\ #,##0.00"/>
    <numFmt numFmtId="168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67" fontId="0" fillId="0" borderId="1" xfId="1" applyNumberFormat="1" applyFont="1" applyBorder="1" applyAlignment="1"/>
    <xf numFmtId="9" fontId="0" fillId="0" borderId="1" xfId="2" applyFont="1" applyBorder="1"/>
    <xf numFmtId="167" fontId="0" fillId="0" borderId="1" xfId="1" applyNumberFormat="1" applyFont="1" applyBorder="1"/>
    <xf numFmtId="167" fontId="0" fillId="0" borderId="1" xfId="0" applyNumberFormat="1" applyBorder="1"/>
    <xf numFmtId="166" fontId="0" fillId="0" borderId="1" xfId="0" applyNumberFormat="1" applyBorder="1"/>
    <xf numFmtId="0" fontId="0" fillId="0" borderId="2" xfId="0" applyBorder="1"/>
    <xf numFmtId="166" fontId="0" fillId="0" borderId="0" xfId="0" applyNumberFormat="1"/>
    <xf numFmtId="9" fontId="0" fillId="0" borderId="0" xfId="2" applyFont="1"/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9" fontId="3" fillId="2" borderId="1" xfId="2" applyFont="1" applyFill="1" applyBorder="1" applyAlignment="1">
      <alignment horizontal="center" vertical="center" wrapText="1"/>
    </xf>
    <xf numFmtId="168" fontId="0" fillId="0" borderId="1" xfId="1" applyNumberFormat="1" applyFont="1" applyBorder="1" applyAlignment="1">
      <alignment horizontal="left" vertical="center"/>
    </xf>
    <xf numFmtId="168" fontId="0" fillId="0" borderId="1" xfId="1" applyNumberFormat="1" applyFont="1" applyBorder="1"/>
    <xf numFmtId="0" fontId="0" fillId="5" borderId="1" xfId="0" applyFill="1" applyBorder="1" applyAlignment="1">
      <alignment horizontal="left" indent="3"/>
    </xf>
    <xf numFmtId="0" fontId="0" fillId="4" borderId="1" xfId="0" applyFill="1" applyBorder="1"/>
    <xf numFmtId="0" fontId="0" fillId="4" borderId="1" xfId="0" applyFill="1" applyBorder="1" applyAlignment="1">
      <alignment horizontal="left" indent="3"/>
    </xf>
    <xf numFmtId="0" fontId="0" fillId="5" borderId="1" xfId="0" applyFill="1" applyBorder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BCFE-2FD5-4FE6-8ED1-F7E2273E79A1}">
  <dimension ref="A1:I26"/>
  <sheetViews>
    <sheetView workbookViewId="0">
      <pane ySplit="1" topLeftCell="A7" activePane="bottomLeft" state="frozen"/>
      <selection activeCell="I18" sqref="I18"/>
      <selection pane="bottomLeft" activeCell="I18" sqref="I18"/>
    </sheetView>
  </sheetViews>
  <sheetFormatPr defaultRowHeight="14.5" x14ac:dyDescent="0.35"/>
  <cols>
    <col min="1" max="1" width="13" customWidth="1"/>
    <col min="2" max="2" width="15" customWidth="1"/>
    <col min="3" max="4" width="12" customWidth="1"/>
    <col min="5" max="5" width="14" customWidth="1"/>
    <col min="6" max="7" width="12" customWidth="1"/>
    <col min="8" max="8" width="19" customWidth="1"/>
    <col min="9" max="9" width="1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2">
        <v>45306</v>
      </c>
      <c r="F2" s="3">
        <v>42000</v>
      </c>
      <c r="G2" s="4">
        <v>0.08</v>
      </c>
      <c r="H2">
        <v>82</v>
      </c>
      <c r="I2">
        <v>7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 s="2">
        <v>45097</v>
      </c>
      <c r="F3" s="3">
        <v>51000</v>
      </c>
      <c r="G3" s="4">
        <v>0.12</v>
      </c>
      <c r="H3">
        <v>91</v>
      </c>
      <c r="I3">
        <v>9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 s="2">
        <v>44873</v>
      </c>
      <c r="F4" s="3">
        <v>58000</v>
      </c>
      <c r="G4" s="4">
        <v>0.1</v>
      </c>
      <c r="H4">
        <v>76</v>
      </c>
      <c r="I4">
        <v>8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 s="2">
        <v>45363</v>
      </c>
      <c r="F5" s="3">
        <v>65000</v>
      </c>
      <c r="G5" s="4">
        <v>0.15</v>
      </c>
      <c r="H5">
        <v>88</v>
      </c>
      <c r="I5">
        <v>10</v>
      </c>
    </row>
    <row r="6" spans="1:9" x14ac:dyDescent="0.35">
      <c r="A6" t="s">
        <v>25</v>
      </c>
      <c r="B6" t="s">
        <v>26</v>
      </c>
      <c r="C6" t="s">
        <v>27</v>
      </c>
      <c r="D6" t="s">
        <v>28</v>
      </c>
      <c r="E6" s="2">
        <v>45170</v>
      </c>
      <c r="F6" s="3">
        <v>47000</v>
      </c>
      <c r="G6" s="4">
        <v>7.0000000000000007E-2</v>
      </c>
      <c r="H6">
        <v>69</v>
      </c>
      <c r="I6">
        <v>6</v>
      </c>
    </row>
    <row r="7" spans="1:9" x14ac:dyDescent="0.35">
      <c r="A7" t="s">
        <v>29</v>
      </c>
      <c r="B7" t="s">
        <v>30</v>
      </c>
      <c r="C7" t="s">
        <v>11</v>
      </c>
      <c r="D7" t="s">
        <v>12</v>
      </c>
      <c r="E7" s="2">
        <v>44396</v>
      </c>
      <c r="F7" s="3">
        <v>45000</v>
      </c>
      <c r="G7" s="4">
        <v>0.09</v>
      </c>
      <c r="H7">
        <v>95</v>
      </c>
      <c r="I7">
        <v>11</v>
      </c>
    </row>
    <row r="8" spans="1:9" x14ac:dyDescent="0.35">
      <c r="A8" t="s">
        <v>31</v>
      </c>
      <c r="B8" t="s">
        <v>32</v>
      </c>
      <c r="C8" t="s">
        <v>15</v>
      </c>
      <c r="D8" t="s">
        <v>33</v>
      </c>
      <c r="E8" s="2">
        <v>44606</v>
      </c>
      <c r="F8" s="3">
        <v>54000</v>
      </c>
      <c r="G8" s="4">
        <v>0.11</v>
      </c>
      <c r="H8">
        <v>84</v>
      </c>
      <c r="I8">
        <v>9</v>
      </c>
    </row>
    <row r="9" spans="1:9" x14ac:dyDescent="0.35">
      <c r="A9" t="s">
        <v>34</v>
      </c>
      <c r="B9" t="s">
        <v>35</v>
      </c>
      <c r="C9" t="s">
        <v>23</v>
      </c>
      <c r="D9" t="s">
        <v>16</v>
      </c>
      <c r="E9" s="2">
        <v>45418</v>
      </c>
      <c r="F9" s="3">
        <v>62000</v>
      </c>
      <c r="G9" s="4">
        <v>0.13</v>
      </c>
      <c r="H9">
        <v>73</v>
      </c>
      <c r="I9">
        <v>7</v>
      </c>
    </row>
    <row r="10" spans="1:9" x14ac:dyDescent="0.35">
      <c r="A10" t="s">
        <v>36</v>
      </c>
      <c r="B10" t="s">
        <v>37</v>
      </c>
      <c r="C10" t="s">
        <v>19</v>
      </c>
      <c r="D10" t="s">
        <v>28</v>
      </c>
      <c r="E10" s="2">
        <v>44130</v>
      </c>
      <c r="F10" s="3">
        <v>60000</v>
      </c>
      <c r="G10" s="4">
        <v>0.08</v>
      </c>
      <c r="H10">
        <v>90</v>
      </c>
      <c r="I10">
        <v>10</v>
      </c>
    </row>
    <row r="11" spans="1:9" x14ac:dyDescent="0.35">
      <c r="A11" t="s">
        <v>38</v>
      </c>
      <c r="B11" t="s">
        <v>39</v>
      </c>
      <c r="C11" t="s">
        <v>11</v>
      </c>
      <c r="D11" t="s">
        <v>24</v>
      </c>
      <c r="E11" s="2">
        <v>44935</v>
      </c>
      <c r="F11" s="3">
        <v>44000</v>
      </c>
      <c r="G11" s="4">
        <v>0.06</v>
      </c>
      <c r="H11">
        <v>61</v>
      </c>
      <c r="I11">
        <v>5</v>
      </c>
    </row>
    <row r="12" spans="1:9" x14ac:dyDescent="0.35">
      <c r="A12" t="s">
        <v>40</v>
      </c>
      <c r="B12" t="s">
        <v>41</v>
      </c>
      <c r="C12" t="s">
        <v>27</v>
      </c>
      <c r="D12" t="s">
        <v>20</v>
      </c>
      <c r="E12" s="2">
        <v>44791</v>
      </c>
      <c r="F12" s="3">
        <v>49000</v>
      </c>
      <c r="G12" s="4">
        <v>0.09</v>
      </c>
      <c r="H12">
        <v>79</v>
      </c>
      <c r="I12">
        <v>8</v>
      </c>
    </row>
    <row r="13" spans="1:9" x14ac:dyDescent="0.35">
      <c r="A13" t="s">
        <v>42</v>
      </c>
      <c r="B13" t="s">
        <v>43</v>
      </c>
      <c r="C13" t="s">
        <v>15</v>
      </c>
      <c r="D13" t="s">
        <v>12</v>
      </c>
      <c r="E13" s="2">
        <v>44533</v>
      </c>
      <c r="F13" s="3">
        <v>53000</v>
      </c>
      <c r="G13" s="4">
        <v>0.14000000000000001</v>
      </c>
      <c r="H13">
        <v>87</v>
      </c>
      <c r="I13">
        <v>9</v>
      </c>
    </row>
    <row r="14" spans="1:9" x14ac:dyDescent="0.35">
      <c r="A14" t="s">
        <v>44</v>
      </c>
      <c r="B14" t="s">
        <v>45</v>
      </c>
      <c r="C14" t="s">
        <v>23</v>
      </c>
      <c r="D14" t="s">
        <v>46</v>
      </c>
      <c r="E14" s="2">
        <v>45037</v>
      </c>
      <c r="F14" s="3">
        <v>67000</v>
      </c>
      <c r="G14" s="4">
        <v>0.16</v>
      </c>
      <c r="H14">
        <v>93</v>
      </c>
      <c r="I14">
        <v>12</v>
      </c>
    </row>
    <row r="15" spans="1:9" x14ac:dyDescent="0.35">
      <c r="A15" t="s">
        <v>47</v>
      </c>
      <c r="B15" t="s">
        <v>48</v>
      </c>
      <c r="C15" t="s">
        <v>19</v>
      </c>
      <c r="D15" t="s">
        <v>33</v>
      </c>
      <c r="E15" s="2">
        <v>45350</v>
      </c>
      <c r="F15" s="3">
        <v>56000</v>
      </c>
      <c r="G15" s="4">
        <v>0.1</v>
      </c>
      <c r="H15">
        <v>72</v>
      </c>
      <c r="I15">
        <v>7</v>
      </c>
    </row>
    <row r="16" spans="1:9" x14ac:dyDescent="0.35">
      <c r="A16" t="s">
        <v>49</v>
      </c>
      <c r="B16" t="s">
        <v>50</v>
      </c>
      <c r="C16" t="s">
        <v>11</v>
      </c>
      <c r="D16" t="s">
        <v>28</v>
      </c>
      <c r="E16" s="2">
        <v>44723</v>
      </c>
      <c r="F16" s="3">
        <v>46000</v>
      </c>
      <c r="G16" s="4">
        <v>0.05</v>
      </c>
      <c r="H16">
        <v>85</v>
      </c>
      <c r="I16">
        <v>8</v>
      </c>
    </row>
    <row r="17" spans="1:9" x14ac:dyDescent="0.35">
      <c r="A17" t="s">
        <v>51</v>
      </c>
      <c r="B17" t="s">
        <v>52</v>
      </c>
      <c r="C17" t="s">
        <v>15</v>
      </c>
      <c r="D17" t="s">
        <v>24</v>
      </c>
      <c r="E17" s="2">
        <v>45247</v>
      </c>
      <c r="F17" s="3">
        <v>50000</v>
      </c>
      <c r="G17" s="4">
        <v>0.12</v>
      </c>
      <c r="H17">
        <v>66</v>
      </c>
      <c r="I17">
        <v>6</v>
      </c>
    </row>
    <row r="18" spans="1:9" x14ac:dyDescent="0.35">
      <c r="A18" t="s">
        <v>53</v>
      </c>
      <c r="B18" t="s">
        <v>54</v>
      </c>
      <c r="C18" t="s">
        <v>27</v>
      </c>
      <c r="D18" t="s">
        <v>46</v>
      </c>
      <c r="E18" s="2">
        <v>44280</v>
      </c>
      <c r="F18" s="3">
        <v>48000</v>
      </c>
      <c r="G18" s="4">
        <v>0.08</v>
      </c>
      <c r="H18">
        <v>92</v>
      </c>
      <c r="I18">
        <v>10</v>
      </c>
    </row>
    <row r="19" spans="1:9" x14ac:dyDescent="0.35">
      <c r="A19" t="s">
        <v>55</v>
      </c>
      <c r="B19" t="s">
        <v>56</v>
      </c>
      <c r="C19" t="s">
        <v>23</v>
      </c>
      <c r="D19" t="s">
        <v>20</v>
      </c>
      <c r="E19" s="2">
        <v>44834</v>
      </c>
      <c r="F19" s="3">
        <v>70000</v>
      </c>
      <c r="G19" s="4">
        <v>0.18</v>
      </c>
      <c r="H19">
        <v>81</v>
      </c>
      <c r="I19">
        <v>9</v>
      </c>
    </row>
    <row r="20" spans="1:9" x14ac:dyDescent="0.35">
      <c r="A20" t="s">
        <v>57</v>
      </c>
      <c r="B20" t="s">
        <v>58</v>
      </c>
      <c r="C20" t="s">
        <v>19</v>
      </c>
      <c r="D20" t="s">
        <v>12</v>
      </c>
      <c r="E20" s="2">
        <v>43964</v>
      </c>
      <c r="F20" s="3">
        <v>61000</v>
      </c>
      <c r="G20" s="4">
        <v>7.0000000000000007E-2</v>
      </c>
      <c r="H20">
        <v>74</v>
      </c>
      <c r="I20">
        <v>8</v>
      </c>
    </row>
    <row r="21" spans="1:9" x14ac:dyDescent="0.35">
      <c r="A21" t="s">
        <v>59</v>
      </c>
      <c r="B21" t="s">
        <v>60</v>
      </c>
      <c r="C21" t="s">
        <v>11</v>
      </c>
      <c r="D21" t="s">
        <v>16</v>
      </c>
      <c r="E21" s="2">
        <v>45467</v>
      </c>
      <c r="F21" s="3">
        <v>43000</v>
      </c>
      <c r="G21" s="4">
        <v>0.09</v>
      </c>
      <c r="H21">
        <v>89</v>
      </c>
      <c r="I21">
        <v>10</v>
      </c>
    </row>
    <row r="22" spans="1:9" x14ac:dyDescent="0.35">
      <c r="A22" t="s">
        <v>61</v>
      </c>
      <c r="B22" t="s">
        <v>62</v>
      </c>
      <c r="C22" t="s">
        <v>15</v>
      </c>
      <c r="D22" t="s">
        <v>28</v>
      </c>
      <c r="E22" s="2">
        <v>44911</v>
      </c>
      <c r="F22" s="3">
        <v>52000</v>
      </c>
      <c r="G22" s="4">
        <v>0.13</v>
      </c>
      <c r="H22">
        <v>77</v>
      </c>
      <c r="I22">
        <v>7</v>
      </c>
    </row>
    <row r="23" spans="1:9" x14ac:dyDescent="0.35">
      <c r="A23" t="s">
        <v>63</v>
      </c>
      <c r="B23" t="s">
        <v>64</v>
      </c>
      <c r="C23" t="s">
        <v>23</v>
      </c>
      <c r="D23" t="s">
        <v>33</v>
      </c>
      <c r="E23" s="2">
        <v>45114</v>
      </c>
      <c r="F23" s="3">
        <v>64000</v>
      </c>
      <c r="G23" s="4">
        <v>0.11</v>
      </c>
      <c r="H23">
        <v>96</v>
      </c>
      <c r="I23">
        <v>13</v>
      </c>
    </row>
    <row r="24" spans="1:9" x14ac:dyDescent="0.35">
      <c r="A24" t="s">
        <v>65</v>
      </c>
      <c r="B24" t="s">
        <v>66</v>
      </c>
      <c r="C24" t="s">
        <v>27</v>
      </c>
      <c r="D24" t="s">
        <v>24</v>
      </c>
      <c r="E24" s="2">
        <v>45384</v>
      </c>
      <c r="F24" s="3">
        <v>46000</v>
      </c>
      <c r="G24" s="4">
        <v>0.06</v>
      </c>
      <c r="H24">
        <v>68</v>
      </c>
      <c r="I24">
        <v>6</v>
      </c>
    </row>
    <row r="25" spans="1:9" x14ac:dyDescent="0.35">
      <c r="A25" t="s">
        <v>67</v>
      </c>
      <c r="B25" t="s">
        <v>68</v>
      </c>
      <c r="C25" t="s">
        <v>19</v>
      </c>
      <c r="D25" t="s">
        <v>20</v>
      </c>
      <c r="E25" s="2">
        <v>44225</v>
      </c>
      <c r="F25" s="3">
        <v>59000</v>
      </c>
      <c r="G25" s="4">
        <v>0.09</v>
      </c>
      <c r="H25">
        <v>86</v>
      </c>
      <c r="I25">
        <v>9</v>
      </c>
    </row>
    <row r="26" spans="1:9" x14ac:dyDescent="0.35">
      <c r="A26" t="s">
        <v>69</v>
      </c>
      <c r="B26" t="s">
        <v>70</v>
      </c>
      <c r="C26" t="s">
        <v>11</v>
      </c>
      <c r="D26" t="s">
        <v>46</v>
      </c>
      <c r="E26" s="2">
        <v>45161</v>
      </c>
      <c r="F26" s="3">
        <v>45500</v>
      </c>
      <c r="G26" s="4">
        <v>0.1</v>
      </c>
      <c r="H26">
        <v>80</v>
      </c>
      <c r="I26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AE69-2070-4A2D-A219-1E2123DC4A6C}">
  <dimension ref="A1:B21"/>
  <sheetViews>
    <sheetView workbookViewId="0">
      <pane ySplit="1" topLeftCell="A3" activePane="bottomLeft" state="frozen"/>
      <selection activeCell="I18" sqref="I18"/>
      <selection pane="bottomLeft" activeCell="I18" sqref="I18"/>
    </sheetView>
  </sheetViews>
  <sheetFormatPr defaultRowHeight="14.5" x14ac:dyDescent="0.35"/>
  <cols>
    <col min="1" max="1" width="10" customWidth="1"/>
    <col min="2" max="2" width="110" customWidth="1"/>
  </cols>
  <sheetData>
    <row r="1" spans="1:2" x14ac:dyDescent="0.35">
      <c r="A1" s="1" t="s">
        <v>71</v>
      </c>
      <c r="B1" s="1" t="s">
        <v>72</v>
      </c>
    </row>
    <row r="2" spans="1:2" x14ac:dyDescent="0.35">
      <c r="A2">
        <v>1</v>
      </c>
      <c r="B2" t="s">
        <v>73</v>
      </c>
    </row>
    <row r="3" spans="1:2" x14ac:dyDescent="0.35">
      <c r="A3">
        <v>2</v>
      </c>
      <c r="B3" t="s">
        <v>74</v>
      </c>
    </row>
    <row r="4" spans="1:2" x14ac:dyDescent="0.35">
      <c r="A4">
        <v>3</v>
      </c>
      <c r="B4" t="s">
        <v>75</v>
      </c>
    </row>
    <row r="5" spans="1:2" x14ac:dyDescent="0.35">
      <c r="A5">
        <v>4</v>
      </c>
      <c r="B5" t="s">
        <v>76</v>
      </c>
    </row>
    <row r="6" spans="1:2" x14ac:dyDescent="0.35">
      <c r="A6">
        <v>5</v>
      </c>
      <c r="B6" t="s">
        <v>77</v>
      </c>
    </row>
    <row r="7" spans="1:2" x14ac:dyDescent="0.35">
      <c r="A7">
        <v>6</v>
      </c>
      <c r="B7" t="s">
        <v>78</v>
      </c>
    </row>
    <row r="8" spans="1:2" x14ac:dyDescent="0.35">
      <c r="A8">
        <v>7</v>
      </c>
      <c r="B8" t="s">
        <v>79</v>
      </c>
    </row>
    <row r="9" spans="1:2" x14ac:dyDescent="0.35">
      <c r="A9">
        <v>8</v>
      </c>
      <c r="B9" t="s">
        <v>80</v>
      </c>
    </row>
    <row r="10" spans="1:2" x14ac:dyDescent="0.35">
      <c r="A10">
        <v>9</v>
      </c>
      <c r="B10" t="s">
        <v>81</v>
      </c>
    </row>
    <row r="11" spans="1:2" x14ac:dyDescent="0.35">
      <c r="A11">
        <v>10</v>
      </c>
      <c r="B11" t="s">
        <v>82</v>
      </c>
    </row>
    <row r="12" spans="1:2" x14ac:dyDescent="0.35">
      <c r="A12">
        <v>11</v>
      </c>
      <c r="B12" t="s">
        <v>83</v>
      </c>
    </row>
    <row r="13" spans="1:2" x14ac:dyDescent="0.35">
      <c r="A13">
        <v>12</v>
      </c>
      <c r="B13" t="s">
        <v>84</v>
      </c>
    </row>
    <row r="14" spans="1:2" x14ac:dyDescent="0.35">
      <c r="A14">
        <v>13</v>
      </c>
      <c r="B14" t="s">
        <v>85</v>
      </c>
    </row>
    <row r="15" spans="1:2" x14ac:dyDescent="0.35">
      <c r="A15">
        <v>14</v>
      </c>
      <c r="B15" t="s">
        <v>86</v>
      </c>
    </row>
    <row r="16" spans="1:2" x14ac:dyDescent="0.35">
      <c r="A16">
        <v>15</v>
      </c>
      <c r="B16" t="s">
        <v>87</v>
      </c>
    </row>
    <row r="17" spans="1:2" x14ac:dyDescent="0.35">
      <c r="A17">
        <v>16</v>
      </c>
      <c r="B17" t="s">
        <v>88</v>
      </c>
    </row>
    <row r="18" spans="1:2" x14ac:dyDescent="0.35">
      <c r="A18">
        <v>17</v>
      </c>
      <c r="B18" t="s">
        <v>89</v>
      </c>
    </row>
    <row r="19" spans="1:2" x14ac:dyDescent="0.35">
      <c r="A19">
        <v>18</v>
      </c>
      <c r="B19" t="s">
        <v>90</v>
      </c>
    </row>
    <row r="20" spans="1:2" x14ac:dyDescent="0.35">
      <c r="A20">
        <v>19</v>
      </c>
      <c r="B20" t="s">
        <v>91</v>
      </c>
    </row>
    <row r="21" spans="1:2" x14ac:dyDescent="0.35">
      <c r="A21">
        <v>20</v>
      </c>
      <c r="B21" t="s">
        <v>92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94D8-747E-4A3A-9BC2-7283423AF931}">
  <dimension ref="A1:I26"/>
  <sheetViews>
    <sheetView workbookViewId="0">
      <selection activeCell="I18" sqref="I18"/>
    </sheetView>
  </sheetViews>
  <sheetFormatPr defaultRowHeight="14.5" x14ac:dyDescent="0.35"/>
  <cols>
    <col min="1" max="1" width="10.26953125" customWidth="1"/>
    <col min="2" max="2" width="12.54296875" customWidth="1"/>
    <col min="3" max="3" width="13.36328125" customWidth="1"/>
    <col min="5" max="5" width="11.7265625" bestFit="1" customWidth="1"/>
    <col min="8" max="8" width="12.17968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2">
        <v>45306</v>
      </c>
      <c r="F2" s="3">
        <v>42000</v>
      </c>
      <c r="G2" s="4">
        <v>0.08</v>
      </c>
      <c r="H2">
        <v>82</v>
      </c>
      <c r="I2">
        <v>7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 s="2">
        <v>45097</v>
      </c>
      <c r="F3" s="3">
        <v>51000</v>
      </c>
      <c r="G3" s="4">
        <v>0.12</v>
      </c>
      <c r="H3">
        <v>91</v>
      </c>
      <c r="I3">
        <v>9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 s="2">
        <v>44873</v>
      </c>
      <c r="F4" s="3">
        <v>58000</v>
      </c>
      <c r="G4" s="4">
        <v>0.1</v>
      </c>
      <c r="H4">
        <v>76</v>
      </c>
      <c r="I4">
        <v>8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 s="2">
        <v>45363</v>
      </c>
      <c r="F5" s="3">
        <v>65000</v>
      </c>
      <c r="G5" s="4">
        <v>0.15</v>
      </c>
      <c r="H5">
        <v>88</v>
      </c>
      <c r="I5">
        <v>10</v>
      </c>
    </row>
    <row r="6" spans="1:9" x14ac:dyDescent="0.35">
      <c r="A6" t="s">
        <v>25</v>
      </c>
      <c r="B6" t="s">
        <v>26</v>
      </c>
      <c r="C6" t="s">
        <v>27</v>
      </c>
      <c r="D6" t="s">
        <v>28</v>
      </c>
      <c r="E6" s="2">
        <v>45170</v>
      </c>
      <c r="F6" s="3">
        <v>47000</v>
      </c>
      <c r="G6" s="4">
        <v>7.0000000000000007E-2</v>
      </c>
      <c r="H6">
        <v>69</v>
      </c>
      <c r="I6">
        <v>6</v>
      </c>
    </row>
    <row r="7" spans="1:9" x14ac:dyDescent="0.35">
      <c r="A7" t="s">
        <v>29</v>
      </c>
      <c r="B7" t="s">
        <v>30</v>
      </c>
      <c r="C7" t="s">
        <v>11</v>
      </c>
      <c r="D7" t="s">
        <v>12</v>
      </c>
      <c r="E7" s="2">
        <v>44396</v>
      </c>
      <c r="F7" s="3">
        <v>45000</v>
      </c>
      <c r="G7" s="4">
        <v>0.09</v>
      </c>
      <c r="H7">
        <v>95</v>
      </c>
      <c r="I7">
        <v>11</v>
      </c>
    </row>
    <row r="8" spans="1:9" x14ac:dyDescent="0.35">
      <c r="A8" t="s">
        <v>31</v>
      </c>
      <c r="B8" t="s">
        <v>32</v>
      </c>
      <c r="C8" t="s">
        <v>15</v>
      </c>
      <c r="D8" t="s">
        <v>33</v>
      </c>
      <c r="E8" s="2">
        <v>44606</v>
      </c>
      <c r="F8" s="3">
        <v>54000</v>
      </c>
      <c r="G8" s="4">
        <v>0.11</v>
      </c>
      <c r="H8">
        <v>84</v>
      </c>
      <c r="I8">
        <v>9</v>
      </c>
    </row>
    <row r="9" spans="1:9" x14ac:dyDescent="0.35">
      <c r="A9" t="s">
        <v>34</v>
      </c>
      <c r="B9" t="s">
        <v>35</v>
      </c>
      <c r="C9" t="s">
        <v>23</v>
      </c>
      <c r="D9" t="s">
        <v>16</v>
      </c>
      <c r="E9" s="2">
        <v>45418</v>
      </c>
      <c r="F9" s="3">
        <v>62000</v>
      </c>
      <c r="G9" s="4">
        <v>0.13</v>
      </c>
      <c r="H9">
        <v>73</v>
      </c>
      <c r="I9">
        <v>7</v>
      </c>
    </row>
    <row r="10" spans="1:9" x14ac:dyDescent="0.35">
      <c r="A10" t="s">
        <v>36</v>
      </c>
      <c r="B10" t="s">
        <v>37</v>
      </c>
      <c r="C10" t="s">
        <v>19</v>
      </c>
      <c r="D10" t="s">
        <v>28</v>
      </c>
      <c r="E10" s="2">
        <v>44130</v>
      </c>
      <c r="F10" s="3">
        <v>60000</v>
      </c>
      <c r="G10" s="4">
        <v>0.08</v>
      </c>
      <c r="H10">
        <v>90</v>
      </c>
      <c r="I10">
        <v>10</v>
      </c>
    </row>
    <row r="11" spans="1:9" x14ac:dyDescent="0.35">
      <c r="A11" t="s">
        <v>38</v>
      </c>
      <c r="B11" t="s">
        <v>39</v>
      </c>
      <c r="C11" t="s">
        <v>11</v>
      </c>
      <c r="D11" t="s">
        <v>24</v>
      </c>
      <c r="E11" s="2">
        <v>44935</v>
      </c>
      <c r="F11" s="3">
        <v>44000</v>
      </c>
      <c r="G11" s="4">
        <v>0.06</v>
      </c>
      <c r="H11">
        <v>61</v>
      </c>
      <c r="I11">
        <v>5</v>
      </c>
    </row>
    <row r="12" spans="1:9" x14ac:dyDescent="0.35">
      <c r="A12" t="s">
        <v>40</v>
      </c>
      <c r="B12" t="s">
        <v>41</v>
      </c>
      <c r="C12" t="s">
        <v>27</v>
      </c>
      <c r="D12" t="s">
        <v>20</v>
      </c>
      <c r="E12" s="2">
        <v>44791</v>
      </c>
      <c r="F12" s="3">
        <v>49000</v>
      </c>
      <c r="G12" s="4">
        <v>0.09</v>
      </c>
      <c r="H12">
        <v>79</v>
      </c>
      <c r="I12">
        <v>8</v>
      </c>
    </row>
    <row r="13" spans="1:9" x14ac:dyDescent="0.35">
      <c r="A13" t="s">
        <v>42</v>
      </c>
      <c r="B13" t="s">
        <v>43</v>
      </c>
      <c r="C13" t="s">
        <v>15</v>
      </c>
      <c r="D13" t="s">
        <v>12</v>
      </c>
      <c r="E13" s="2">
        <v>44533</v>
      </c>
      <c r="F13" s="3">
        <v>53000</v>
      </c>
      <c r="G13" s="4">
        <v>0.14000000000000001</v>
      </c>
      <c r="H13">
        <v>87</v>
      </c>
      <c r="I13">
        <v>9</v>
      </c>
    </row>
    <row r="14" spans="1:9" x14ac:dyDescent="0.35">
      <c r="A14" t="s">
        <v>44</v>
      </c>
      <c r="B14" t="s">
        <v>45</v>
      </c>
      <c r="C14" t="s">
        <v>23</v>
      </c>
      <c r="D14" t="s">
        <v>46</v>
      </c>
      <c r="E14" s="2">
        <v>45037</v>
      </c>
      <c r="F14" s="3">
        <v>67000</v>
      </c>
      <c r="G14" s="4">
        <v>0.16</v>
      </c>
      <c r="H14">
        <v>93</v>
      </c>
      <c r="I14">
        <v>12</v>
      </c>
    </row>
    <row r="15" spans="1:9" x14ac:dyDescent="0.35">
      <c r="A15" t="s">
        <v>47</v>
      </c>
      <c r="B15" t="s">
        <v>48</v>
      </c>
      <c r="C15" t="s">
        <v>19</v>
      </c>
      <c r="D15" t="s">
        <v>33</v>
      </c>
      <c r="E15" s="2">
        <v>45350</v>
      </c>
      <c r="F15" s="3">
        <v>56000</v>
      </c>
      <c r="G15" s="4">
        <v>0.1</v>
      </c>
      <c r="H15">
        <v>72</v>
      </c>
      <c r="I15">
        <v>7</v>
      </c>
    </row>
    <row r="16" spans="1:9" x14ac:dyDescent="0.35">
      <c r="A16" t="s">
        <v>49</v>
      </c>
      <c r="B16" t="s">
        <v>50</v>
      </c>
      <c r="C16" t="s">
        <v>11</v>
      </c>
      <c r="D16" t="s">
        <v>28</v>
      </c>
      <c r="E16" s="2">
        <v>44723</v>
      </c>
      <c r="F16" s="3">
        <v>46000</v>
      </c>
      <c r="G16" s="4">
        <v>0.05</v>
      </c>
      <c r="H16">
        <v>85</v>
      </c>
      <c r="I16">
        <v>8</v>
      </c>
    </row>
    <row r="17" spans="1:9" x14ac:dyDescent="0.35">
      <c r="A17" t="s">
        <v>51</v>
      </c>
      <c r="B17" t="s">
        <v>52</v>
      </c>
      <c r="C17" t="s">
        <v>15</v>
      </c>
      <c r="D17" t="s">
        <v>24</v>
      </c>
      <c r="E17" s="2">
        <v>45247</v>
      </c>
      <c r="F17" s="3">
        <v>50000</v>
      </c>
      <c r="G17" s="4">
        <v>0.12</v>
      </c>
      <c r="H17">
        <v>66</v>
      </c>
      <c r="I17">
        <v>6</v>
      </c>
    </row>
    <row r="18" spans="1:9" x14ac:dyDescent="0.35">
      <c r="A18" t="s">
        <v>53</v>
      </c>
      <c r="B18" t="s">
        <v>54</v>
      </c>
      <c r="C18" t="s">
        <v>27</v>
      </c>
      <c r="D18" t="s">
        <v>46</v>
      </c>
      <c r="E18" s="2">
        <v>44280</v>
      </c>
      <c r="F18" s="3">
        <v>48000</v>
      </c>
      <c r="G18" s="4">
        <v>0.08</v>
      </c>
      <c r="H18">
        <v>92</v>
      </c>
      <c r="I18">
        <v>10</v>
      </c>
    </row>
    <row r="19" spans="1:9" x14ac:dyDescent="0.35">
      <c r="A19" t="s">
        <v>55</v>
      </c>
      <c r="B19" t="s">
        <v>56</v>
      </c>
      <c r="C19" t="s">
        <v>23</v>
      </c>
      <c r="D19" t="s">
        <v>20</v>
      </c>
      <c r="E19" s="2">
        <v>44834</v>
      </c>
      <c r="F19" s="3">
        <v>70000</v>
      </c>
      <c r="G19" s="4">
        <v>0.18</v>
      </c>
      <c r="H19">
        <v>81</v>
      </c>
      <c r="I19">
        <v>9</v>
      </c>
    </row>
    <row r="20" spans="1:9" x14ac:dyDescent="0.35">
      <c r="A20" t="s">
        <v>57</v>
      </c>
      <c r="B20" t="s">
        <v>58</v>
      </c>
      <c r="C20" t="s">
        <v>19</v>
      </c>
      <c r="D20" t="s">
        <v>12</v>
      </c>
      <c r="E20" s="2">
        <v>43964</v>
      </c>
      <c r="F20" s="3">
        <v>61000</v>
      </c>
      <c r="G20" s="4">
        <v>7.0000000000000007E-2</v>
      </c>
      <c r="H20">
        <v>74</v>
      </c>
      <c r="I20">
        <v>8</v>
      </c>
    </row>
    <row r="21" spans="1:9" x14ac:dyDescent="0.35">
      <c r="A21" t="s">
        <v>59</v>
      </c>
      <c r="B21" t="s">
        <v>60</v>
      </c>
      <c r="C21" t="s">
        <v>11</v>
      </c>
      <c r="D21" t="s">
        <v>16</v>
      </c>
      <c r="E21" s="2">
        <v>45467</v>
      </c>
      <c r="F21" s="3">
        <v>43000</v>
      </c>
      <c r="G21" s="4">
        <v>0.09</v>
      </c>
      <c r="H21">
        <v>89</v>
      </c>
      <c r="I21">
        <v>10</v>
      </c>
    </row>
    <row r="22" spans="1:9" x14ac:dyDescent="0.35">
      <c r="A22" t="s">
        <v>61</v>
      </c>
      <c r="B22" t="s">
        <v>62</v>
      </c>
      <c r="C22" t="s">
        <v>15</v>
      </c>
      <c r="D22" t="s">
        <v>28</v>
      </c>
      <c r="E22" s="2">
        <v>44911</v>
      </c>
      <c r="F22" s="3">
        <v>52000</v>
      </c>
      <c r="G22" s="4">
        <v>0.13</v>
      </c>
      <c r="H22">
        <v>77</v>
      </c>
      <c r="I22">
        <v>7</v>
      </c>
    </row>
    <row r="23" spans="1:9" x14ac:dyDescent="0.35">
      <c r="A23" t="s">
        <v>63</v>
      </c>
      <c r="B23" t="s">
        <v>64</v>
      </c>
      <c r="C23" t="s">
        <v>23</v>
      </c>
      <c r="D23" t="s">
        <v>33</v>
      </c>
      <c r="E23" s="2">
        <v>45114</v>
      </c>
      <c r="F23" s="3">
        <v>64000</v>
      </c>
      <c r="G23" s="4">
        <v>0.11</v>
      </c>
      <c r="H23">
        <v>96</v>
      </c>
      <c r="I23">
        <v>13</v>
      </c>
    </row>
    <row r="24" spans="1:9" x14ac:dyDescent="0.35">
      <c r="A24" t="s">
        <v>65</v>
      </c>
      <c r="B24" t="s">
        <v>66</v>
      </c>
      <c r="C24" t="s">
        <v>27</v>
      </c>
      <c r="D24" t="s">
        <v>24</v>
      </c>
      <c r="E24" s="2">
        <v>45384</v>
      </c>
      <c r="F24" s="3">
        <v>46000</v>
      </c>
      <c r="G24" s="4">
        <v>0.06</v>
      </c>
      <c r="H24">
        <v>68</v>
      </c>
      <c r="I24">
        <v>6</v>
      </c>
    </row>
    <row r="25" spans="1:9" x14ac:dyDescent="0.35">
      <c r="A25" t="s">
        <v>67</v>
      </c>
      <c r="B25" t="s">
        <v>68</v>
      </c>
      <c r="C25" t="s">
        <v>19</v>
      </c>
      <c r="D25" t="s">
        <v>20</v>
      </c>
      <c r="E25" s="2">
        <v>44225</v>
      </c>
      <c r="F25" s="3">
        <v>59000</v>
      </c>
      <c r="G25" s="4">
        <v>0.09</v>
      </c>
      <c r="H25">
        <v>86</v>
      </c>
      <c r="I25">
        <v>9</v>
      </c>
    </row>
    <row r="26" spans="1:9" x14ac:dyDescent="0.35">
      <c r="A26" t="s">
        <v>69</v>
      </c>
      <c r="B26" t="s">
        <v>70</v>
      </c>
      <c r="C26" t="s">
        <v>11</v>
      </c>
      <c r="D26" t="s">
        <v>46</v>
      </c>
      <c r="E26" s="2">
        <v>45161</v>
      </c>
      <c r="F26" s="3">
        <v>45500</v>
      </c>
      <c r="G26" s="4">
        <v>0.1</v>
      </c>
      <c r="H26">
        <v>80</v>
      </c>
      <c r="I2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D4CC-EAA7-4972-8D25-515CC2D59005}">
  <dimension ref="A1:V56"/>
  <sheetViews>
    <sheetView tabSelected="1" workbookViewId="0">
      <pane ySplit="2" topLeftCell="A3" activePane="bottomLeft" state="frozen"/>
      <selection activeCell="I18" sqref="I18"/>
      <selection pane="bottomLeft" activeCell="J5" sqref="J5"/>
    </sheetView>
  </sheetViews>
  <sheetFormatPr defaultRowHeight="14.5" x14ac:dyDescent="0.35"/>
  <cols>
    <col min="1" max="1" width="10.453125" customWidth="1"/>
    <col min="2" max="2" width="19.1796875" customWidth="1"/>
    <col min="3" max="3" width="11.54296875" customWidth="1"/>
    <col min="4" max="4" width="10" bestFit="1" customWidth="1"/>
    <col min="5" max="5" width="14.1796875" customWidth="1"/>
    <col min="6" max="6" width="11.26953125" style="20" customWidth="1"/>
    <col min="7" max="7" width="8.7265625" style="21"/>
    <col min="8" max="8" width="20" customWidth="1"/>
    <col min="9" max="9" width="18.1796875" customWidth="1"/>
    <col min="10" max="10" width="13.08984375" bestFit="1" customWidth="1"/>
    <col min="11" max="11" width="10.26953125" bestFit="1" customWidth="1"/>
    <col min="12" max="12" width="12.7265625" bestFit="1" customWidth="1"/>
    <col min="13" max="13" width="18" bestFit="1" customWidth="1"/>
    <col min="14" max="14" width="10.08984375" bestFit="1" customWidth="1"/>
    <col min="15" max="15" width="11.26953125" bestFit="1" customWidth="1"/>
    <col min="18" max="18" width="11.1796875" bestFit="1" customWidth="1"/>
    <col min="19" max="19" width="10.90625" bestFit="1" customWidth="1"/>
    <col min="20" max="20" width="7.90625" bestFit="1" customWidth="1"/>
    <col min="22" max="22" width="18.26953125" bestFit="1" customWidth="1"/>
    <col min="31" max="31" width="11" bestFit="1" customWidth="1"/>
    <col min="32" max="32" width="10.90625" bestFit="1" customWidth="1"/>
  </cols>
  <sheetData>
    <row r="1" spans="1:22" s="6" customFormat="1" ht="31" x14ac:dyDescent="0.35">
      <c r="A1" s="33" t="s">
        <v>93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5">
        <v>0.1</v>
      </c>
      <c r="N1" s="5">
        <v>0.05</v>
      </c>
    </row>
    <row r="2" spans="1:22" ht="29" x14ac:dyDescent="0.35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7" t="s">
        <v>7</v>
      </c>
      <c r="I2" s="7" t="s">
        <v>8</v>
      </c>
      <c r="J2" s="11" t="s">
        <v>94</v>
      </c>
      <c r="K2" s="11" t="s">
        <v>95</v>
      </c>
      <c r="L2" s="11" t="s">
        <v>96</v>
      </c>
      <c r="M2" s="11" t="s">
        <v>97</v>
      </c>
      <c r="N2" s="11" t="s">
        <v>98</v>
      </c>
      <c r="O2" s="11" t="s">
        <v>99</v>
      </c>
      <c r="P2" s="11" t="s">
        <v>100</v>
      </c>
      <c r="Q2" s="11" t="s">
        <v>101</v>
      </c>
      <c r="R2" s="11" t="s">
        <v>102</v>
      </c>
      <c r="S2" s="11" t="s">
        <v>103</v>
      </c>
      <c r="T2" s="11" t="s">
        <v>104</v>
      </c>
      <c r="U2" s="11" t="s">
        <v>105</v>
      </c>
      <c r="V2" s="11" t="s">
        <v>106</v>
      </c>
    </row>
    <row r="3" spans="1:22" ht="23.5" customHeight="1" x14ac:dyDescent="0.35">
      <c r="A3" s="12" t="s">
        <v>9</v>
      </c>
      <c r="B3" s="12" t="s">
        <v>10</v>
      </c>
      <c r="C3" s="12" t="s">
        <v>11</v>
      </c>
      <c r="D3" s="12" t="s">
        <v>12</v>
      </c>
      <c r="E3" s="13">
        <v>45306</v>
      </c>
      <c r="F3" s="14">
        <v>42000</v>
      </c>
      <c r="G3" s="15">
        <v>0.08</v>
      </c>
      <c r="H3" s="12">
        <v>82</v>
      </c>
      <c r="I3" s="12">
        <v>7</v>
      </c>
      <c r="J3" s="16">
        <f>ROUND(F3*G3,0)</f>
        <v>3360</v>
      </c>
      <c r="K3" s="17">
        <f>(F3+J3)*(1-$M$1)</f>
        <v>40824</v>
      </c>
      <c r="L3" s="17">
        <f>F3*(1+$N$1)</f>
        <v>44100</v>
      </c>
      <c r="M3" s="12" t="str">
        <f>IF(H3&gt;=80, "Good","Needs Improvement")</f>
        <v>Good</v>
      </c>
      <c r="N3" s="12" t="str">
        <f>IF(AND(H3&gt;=80,I3&gt;=9),"Ready","Developing")</f>
        <v>Developing</v>
      </c>
      <c r="O3" s="12" t="str">
        <f>IF(OR(D3="Hyderabad",D3="Bengaluru"),"Key city","Other")</f>
        <v>Key city</v>
      </c>
      <c r="P3" s="12" t="str">
        <f>IF(NOT(C3="IT"),"Non IT","IT")</f>
        <v>Non IT</v>
      </c>
      <c r="Q3" s="12" t="str">
        <f>LEFT(A3,2)</f>
        <v>E1</v>
      </c>
      <c r="R3" s="18" t="str">
        <f>RIGHT(A3,2)</f>
        <v>01</v>
      </c>
      <c r="S3" s="12" t="str">
        <f>MID(A3,2,2)</f>
        <v>10</v>
      </c>
      <c r="T3" s="12">
        <f>LEN(A3)</f>
        <v>4</v>
      </c>
      <c r="U3" s="12">
        <f>FIND(" ",B3)</f>
        <v>6</v>
      </c>
      <c r="V3" s="12" t="str">
        <f>_xlfn.CONCAT(A3," - ",B3)</f>
        <v>E101 - Aisha Khan</v>
      </c>
    </row>
    <row r="4" spans="1:22" x14ac:dyDescent="0.35">
      <c r="A4" s="12" t="s">
        <v>13</v>
      </c>
      <c r="B4" s="12" t="s">
        <v>14</v>
      </c>
      <c r="C4" s="12" t="s">
        <v>15</v>
      </c>
      <c r="D4" s="12" t="s">
        <v>16</v>
      </c>
      <c r="E4" s="13">
        <v>45097</v>
      </c>
      <c r="F4" s="16">
        <v>51000</v>
      </c>
      <c r="G4" s="15">
        <v>0.12</v>
      </c>
      <c r="H4" s="12">
        <v>91</v>
      </c>
      <c r="I4" s="12">
        <v>9</v>
      </c>
      <c r="J4" s="16">
        <f t="shared" ref="J4:J27" si="0">ROUND(F4*G4,0)</f>
        <v>6120</v>
      </c>
      <c r="K4" s="17">
        <f t="shared" ref="K4:K27" si="1">(F4+J4)*(1-$M$1)</f>
        <v>51408</v>
      </c>
      <c r="L4" s="17">
        <f t="shared" ref="L4:L27" si="2">F4*(1+$N$1)</f>
        <v>53550</v>
      </c>
      <c r="M4" s="12" t="str">
        <f t="shared" ref="M4:M27" si="3">IF(H4&gt;=80, "Good","Needs Improvement")</f>
        <v>Good</v>
      </c>
      <c r="N4" s="12" t="str">
        <f t="shared" ref="N4:N27" si="4">IF(AND(H4&gt;=80,I4&gt;=9),"Ready","Developing")</f>
        <v>Ready</v>
      </c>
      <c r="O4" s="12" t="str">
        <f t="shared" ref="O4:O27" si="5">IF(OR(D4="Hyderabad",D4="Bengaluru"),"Key city","Other")</f>
        <v>Other</v>
      </c>
      <c r="P4" s="12" t="str">
        <f t="shared" ref="P4:P27" si="6">IF(NOT(C4="IT"),"Non IT","IT")</f>
        <v>Non IT</v>
      </c>
      <c r="Q4" s="12" t="str">
        <f t="shared" ref="Q4:Q30" si="7">LEFT(A4,2)</f>
        <v>E1</v>
      </c>
      <c r="R4" s="18" t="str">
        <f t="shared" ref="R4:R30" si="8">RIGHT(A4,2)</f>
        <v>02</v>
      </c>
      <c r="S4" s="12" t="str">
        <f t="shared" ref="S4:S30" si="9">MID(A4,2,2)</f>
        <v>10</v>
      </c>
      <c r="T4" s="12">
        <f t="shared" ref="T4:T27" si="10">LEN(A4)</f>
        <v>4</v>
      </c>
      <c r="U4" s="12">
        <f t="shared" ref="U4:U27" si="11">FIND(" ",B4)</f>
        <v>6</v>
      </c>
      <c r="V4" s="12" t="str">
        <f t="shared" ref="V4:V27" si="12">_xlfn.CONCAT(A4," - ",B4)</f>
        <v>E102 - Rohan Mehta</v>
      </c>
    </row>
    <row r="5" spans="1:22" x14ac:dyDescent="0.35">
      <c r="A5" s="12" t="s">
        <v>17</v>
      </c>
      <c r="B5" s="12" t="s">
        <v>18</v>
      </c>
      <c r="C5" s="12" t="s">
        <v>19</v>
      </c>
      <c r="D5" s="12" t="s">
        <v>20</v>
      </c>
      <c r="E5" s="13">
        <v>44873</v>
      </c>
      <c r="F5" s="16">
        <v>58000</v>
      </c>
      <c r="G5" s="15">
        <v>0.1</v>
      </c>
      <c r="H5" s="12">
        <v>76</v>
      </c>
      <c r="I5" s="12">
        <v>8</v>
      </c>
      <c r="J5" s="16">
        <f t="shared" si="0"/>
        <v>5800</v>
      </c>
      <c r="K5" s="17">
        <f t="shared" si="1"/>
        <v>57420</v>
      </c>
      <c r="L5" s="17">
        <f t="shared" si="2"/>
        <v>60900</v>
      </c>
      <c r="M5" s="12" t="str">
        <f t="shared" si="3"/>
        <v>Needs Improvement</v>
      </c>
      <c r="N5" s="12" t="str">
        <f t="shared" si="4"/>
        <v>Developing</v>
      </c>
      <c r="O5" s="12" t="str">
        <f t="shared" si="5"/>
        <v>Key city</v>
      </c>
      <c r="P5" s="12" t="str">
        <f t="shared" si="6"/>
        <v>Non IT</v>
      </c>
      <c r="Q5" s="12" t="str">
        <f t="shared" si="7"/>
        <v>E1</v>
      </c>
      <c r="R5" s="18" t="str">
        <f t="shared" si="8"/>
        <v>03</v>
      </c>
      <c r="S5" s="12" t="str">
        <f t="shared" si="9"/>
        <v>10</v>
      </c>
      <c r="T5" s="12">
        <f t="shared" si="10"/>
        <v>4</v>
      </c>
      <c r="U5" s="12">
        <f t="shared" si="11"/>
        <v>5</v>
      </c>
      <c r="V5" s="12" t="str">
        <f t="shared" si="12"/>
        <v>E103 - Neha Rao</v>
      </c>
    </row>
    <row r="6" spans="1:22" x14ac:dyDescent="0.35">
      <c r="A6" s="12" t="s">
        <v>21</v>
      </c>
      <c r="B6" s="12" t="s">
        <v>22</v>
      </c>
      <c r="C6" s="12" t="s">
        <v>23</v>
      </c>
      <c r="D6" s="12" t="s">
        <v>24</v>
      </c>
      <c r="E6" s="13">
        <v>45363</v>
      </c>
      <c r="F6" s="16">
        <v>65000</v>
      </c>
      <c r="G6" s="15">
        <v>0.15</v>
      </c>
      <c r="H6" s="12">
        <v>88</v>
      </c>
      <c r="I6" s="12">
        <v>10</v>
      </c>
      <c r="J6" s="16">
        <f t="shared" si="0"/>
        <v>9750</v>
      </c>
      <c r="K6" s="17">
        <f t="shared" si="1"/>
        <v>67275</v>
      </c>
      <c r="L6" s="17">
        <f t="shared" si="2"/>
        <v>68250</v>
      </c>
      <c r="M6" s="12" t="str">
        <f t="shared" si="3"/>
        <v>Good</v>
      </c>
      <c r="N6" s="12" t="str">
        <f t="shared" si="4"/>
        <v>Ready</v>
      </c>
      <c r="O6" s="12" t="str">
        <f t="shared" si="5"/>
        <v>Other</v>
      </c>
      <c r="P6" s="12" t="str">
        <f t="shared" si="6"/>
        <v>IT</v>
      </c>
      <c r="Q6" s="12" t="str">
        <f t="shared" si="7"/>
        <v>E1</v>
      </c>
      <c r="R6" s="18" t="str">
        <f t="shared" si="8"/>
        <v>04</v>
      </c>
      <c r="S6" s="12" t="str">
        <f t="shared" si="9"/>
        <v>10</v>
      </c>
      <c r="T6" s="12">
        <f t="shared" si="10"/>
        <v>4</v>
      </c>
      <c r="U6" s="12">
        <f t="shared" si="11"/>
        <v>6</v>
      </c>
      <c r="V6" s="12" t="str">
        <f t="shared" si="12"/>
        <v>E104 - Arjun Patel</v>
      </c>
    </row>
    <row r="7" spans="1:22" x14ac:dyDescent="0.35">
      <c r="A7" s="12" t="s">
        <v>25</v>
      </c>
      <c r="B7" s="12" t="s">
        <v>26</v>
      </c>
      <c r="C7" s="12" t="s">
        <v>27</v>
      </c>
      <c r="D7" s="12" t="s">
        <v>28</v>
      </c>
      <c r="E7" s="13">
        <v>45170</v>
      </c>
      <c r="F7" s="16">
        <v>47000</v>
      </c>
      <c r="G7" s="15">
        <v>7.0000000000000007E-2</v>
      </c>
      <c r="H7" s="12">
        <v>69</v>
      </c>
      <c r="I7" s="12">
        <v>6</v>
      </c>
      <c r="J7" s="16">
        <f t="shared" si="0"/>
        <v>3290</v>
      </c>
      <c r="K7" s="17">
        <f t="shared" si="1"/>
        <v>45261</v>
      </c>
      <c r="L7" s="17">
        <f t="shared" si="2"/>
        <v>49350</v>
      </c>
      <c r="M7" s="12" t="str">
        <f t="shared" si="3"/>
        <v>Needs Improvement</v>
      </c>
      <c r="N7" s="12" t="str">
        <f t="shared" si="4"/>
        <v>Developing</v>
      </c>
      <c r="O7" s="12" t="str">
        <f t="shared" si="5"/>
        <v>Other</v>
      </c>
      <c r="P7" s="12" t="str">
        <f t="shared" si="6"/>
        <v>Non IT</v>
      </c>
      <c r="Q7" s="12" t="str">
        <f t="shared" si="7"/>
        <v>E1</v>
      </c>
      <c r="R7" s="18" t="str">
        <f t="shared" si="8"/>
        <v>05</v>
      </c>
      <c r="S7" s="12" t="str">
        <f t="shared" si="9"/>
        <v>10</v>
      </c>
      <c r="T7" s="12">
        <f t="shared" si="10"/>
        <v>4</v>
      </c>
      <c r="U7" s="12">
        <f t="shared" si="11"/>
        <v>5</v>
      </c>
      <c r="V7" s="12" t="str">
        <f t="shared" si="12"/>
        <v>E105 - Sara Ali</v>
      </c>
    </row>
    <row r="8" spans="1:22" x14ac:dyDescent="0.35">
      <c r="A8" s="12" t="s">
        <v>29</v>
      </c>
      <c r="B8" s="12" t="s">
        <v>30</v>
      </c>
      <c r="C8" s="12" t="s">
        <v>11</v>
      </c>
      <c r="D8" s="12" t="s">
        <v>12</v>
      </c>
      <c r="E8" s="13">
        <v>44396</v>
      </c>
      <c r="F8" s="16">
        <v>45000</v>
      </c>
      <c r="G8" s="15">
        <v>0.09</v>
      </c>
      <c r="H8" s="12">
        <v>95</v>
      </c>
      <c r="I8" s="12">
        <v>11</v>
      </c>
      <c r="J8" s="16">
        <f t="shared" si="0"/>
        <v>4050</v>
      </c>
      <c r="K8" s="17">
        <f t="shared" si="1"/>
        <v>44145</v>
      </c>
      <c r="L8" s="17">
        <f t="shared" si="2"/>
        <v>47250</v>
      </c>
      <c r="M8" s="12" t="str">
        <f t="shared" si="3"/>
        <v>Good</v>
      </c>
      <c r="N8" s="12" t="str">
        <f t="shared" si="4"/>
        <v>Ready</v>
      </c>
      <c r="O8" s="12" t="str">
        <f t="shared" si="5"/>
        <v>Key city</v>
      </c>
      <c r="P8" s="12" t="str">
        <f t="shared" si="6"/>
        <v>Non IT</v>
      </c>
      <c r="Q8" s="12" t="str">
        <f t="shared" si="7"/>
        <v>E1</v>
      </c>
      <c r="R8" s="18" t="str">
        <f t="shared" si="8"/>
        <v>06</v>
      </c>
      <c r="S8" s="12" t="str">
        <f t="shared" si="9"/>
        <v>10</v>
      </c>
      <c r="T8" s="12">
        <f t="shared" si="10"/>
        <v>4</v>
      </c>
      <c r="U8" s="12">
        <f t="shared" si="11"/>
        <v>7</v>
      </c>
      <c r="V8" s="12" t="str">
        <f t="shared" si="12"/>
        <v>E106 - Vikram Singh</v>
      </c>
    </row>
    <row r="9" spans="1:22" x14ac:dyDescent="0.35">
      <c r="A9" s="12" t="s">
        <v>31</v>
      </c>
      <c r="B9" s="12" t="s">
        <v>32</v>
      </c>
      <c r="C9" s="12" t="s">
        <v>15</v>
      </c>
      <c r="D9" s="12" t="s">
        <v>33</v>
      </c>
      <c r="E9" s="13">
        <v>44606</v>
      </c>
      <c r="F9" s="16">
        <v>54000</v>
      </c>
      <c r="G9" s="15">
        <v>0.11</v>
      </c>
      <c r="H9" s="12">
        <v>84</v>
      </c>
      <c r="I9" s="12">
        <v>9</v>
      </c>
      <c r="J9" s="16">
        <f t="shared" si="0"/>
        <v>5940</v>
      </c>
      <c r="K9" s="17">
        <f t="shared" si="1"/>
        <v>53946</v>
      </c>
      <c r="L9" s="17">
        <f t="shared" si="2"/>
        <v>56700</v>
      </c>
      <c r="M9" s="12" t="str">
        <f t="shared" si="3"/>
        <v>Good</v>
      </c>
      <c r="N9" s="12" t="str">
        <f t="shared" si="4"/>
        <v>Ready</v>
      </c>
      <c r="O9" s="12" t="str">
        <f t="shared" si="5"/>
        <v>Other</v>
      </c>
      <c r="P9" s="12" t="str">
        <f t="shared" si="6"/>
        <v>Non IT</v>
      </c>
      <c r="Q9" s="12" t="str">
        <f t="shared" si="7"/>
        <v>E1</v>
      </c>
      <c r="R9" s="18" t="str">
        <f t="shared" si="8"/>
        <v>07</v>
      </c>
      <c r="S9" s="12" t="str">
        <f t="shared" si="9"/>
        <v>10</v>
      </c>
      <c r="T9" s="12">
        <f t="shared" si="10"/>
        <v>4</v>
      </c>
      <c r="U9" s="12">
        <f t="shared" si="11"/>
        <v>6</v>
      </c>
      <c r="V9" s="12" t="str">
        <f t="shared" si="12"/>
        <v>E107 - Meera Iyer</v>
      </c>
    </row>
    <row r="10" spans="1:22" x14ac:dyDescent="0.35">
      <c r="A10" s="12" t="s">
        <v>34</v>
      </c>
      <c r="B10" s="12" t="s">
        <v>35</v>
      </c>
      <c r="C10" s="12" t="s">
        <v>23</v>
      </c>
      <c r="D10" s="12" t="s">
        <v>16</v>
      </c>
      <c r="E10" s="13">
        <v>45418</v>
      </c>
      <c r="F10" s="16">
        <v>62000</v>
      </c>
      <c r="G10" s="15">
        <v>0.13</v>
      </c>
      <c r="H10" s="12">
        <v>73</v>
      </c>
      <c r="I10" s="12">
        <v>7</v>
      </c>
      <c r="J10" s="16">
        <f t="shared" si="0"/>
        <v>8060</v>
      </c>
      <c r="K10" s="17">
        <f t="shared" si="1"/>
        <v>63054</v>
      </c>
      <c r="L10" s="17">
        <f t="shared" si="2"/>
        <v>65100</v>
      </c>
      <c r="M10" s="12" t="str">
        <f t="shared" si="3"/>
        <v>Needs Improvement</v>
      </c>
      <c r="N10" s="12" t="str">
        <f t="shared" si="4"/>
        <v>Developing</v>
      </c>
      <c r="O10" s="12" t="str">
        <f t="shared" si="5"/>
        <v>Other</v>
      </c>
      <c r="P10" s="12" t="str">
        <f t="shared" si="6"/>
        <v>IT</v>
      </c>
      <c r="Q10" s="12" t="str">
        <f t="shared" si="7"/>
        <v>E1</v>
      </c>
      <c r="R10" s="18" t="str">
        <f t="shared" si="8"/>
        <v>08</v>
      </c>
      <c r="S10" s="12" t="str">
        <f t="shared" si="9"/>
        <v>10</v>
      </c>
      <c r="T10" s="12">
        <f t="shared" si="10"/>
        <v>4</v>
      </c>
      <c r="U10" s="12">
        <f t="shared" si="11"/>
        <v>6</v>
      </c>
      <c r="V10" s="12" t="str">
        <f t="shared" si="12"/>
        <v>E108 - Kabir Shah</v>
      </c>
    </row>
    <row r="11" spans="1:22" x14ac:dyDescent="0.35">
      <c r="A11" s="12" t="s">
        <v>36</v>
      </c>
      <c r="B11" s="12" t="s">
        <v>37</v>
      </c>
      <c r="C11" s="12" t="s">
        <v>19</v>
      </c>
      <c r="D11" s="12" t="s">
        <v>28</v>
      </c>
      <c r="E11" s="13">
        <v>44130</v>
      </c>
      <c r="F11" s="16">
        <v>60000</v>
      </c>
      <c r="G11" s="15">
        <v>0.08</v>
      </c>
      <c r="H11" s="12">
        <v>90</v>
      </c>
      <c r="I11" s="12">
        <v>10</v>
      </c>
      <c r="J11" s="16">
        <f t="shared" si="0"/>
        <v>4800</v>
      </c>
      <c r="K11" s="17">
        <f t="shared" si="1"/>
        <v>58320</v>
      </c>
      <c r="L11" s="17">
        <f t="shared" si="2"/>
        <v>63000</v>
      </c>
      <c r="M11" s="12" t="str">
        <f t="shared" si="3"/>
        <v>Good</v>
      </c>
      <c r="N11" s="12" t="str">
        <f t="shared" si="4"/>
        <v>Ready</v>
      </c>
      <c r="O11" s="12" t="str">
        <f t="shared" si="5"/>
        <v>Other</v>
      </c>
      <c r="P11" s="12" t="str">
        <f t="shared" si="6"/>
        <v>Non IT</v>
      </c>
      <c r="Q11" s="12" t="str">
        <f t="shared" si="7"/>
        <v>E1</v>
      </c>
      <c r="R11" s="18" t="str">
        <f t="shared" si="8"/>
        <v>09</v>
      </c>
      <c r="S11" s="12" t="str">
        <f t="shared" si="9"/>
        <v>10</v>
      </c>
      <c r="T11" s="12">
        <f t="shared" si="10"/>
        <v>4</v>
      </c>
      <c r="U11" s="12">
        <f t="shared" si="11"/>
        <v>6</v>
      </c>
      <c r="V11" s="12" t="str">
        <f t="shared" si="12"/>
        <v>E109 - Nisha Verma</v>
      </c>
    </row>
    <row r="12" spans="1:22" x14ac:dyDescent="0.35">
      <c r="A12" s="12" t="s">
        <v>38</v>
      </c>
      <c r="B12" s="12" t="s">
        <v>39</v>
      </c>
      <c r="C12" s="12" t="s">
        <v>11</v>
      </c>
      <c r="D12" s="12" t="s">
        <v>24</v>
      </c>
      <c r="E12" s="13">
        <v>44935</v>
      </c>
      <c r="F12" s="16">
        <v>44000</v>
      </c>
      <c r="G12" s="15">
        <v>0.06</v>
      </c>
      <c r="H12" s="12">
        <v>61</v>
      </c>
      <c r="I12" s="12">
        <v>5</v>
      </c>
      <c r="J12" s="16">
        <f t="shared" si="0"/>
        <v>2640</v>
      </c>
      <c r="K12" s="17">
        <f t="shared" si="1"/>
        <v>41976</v>
      </c>
      <c r="L12" s="17">
        <f t="shared" si="2"/>
        <v>46200</v>
      </c>
      <c r="M12" s="12" t="str">
        <f t="shared" si="3"/>
        <v>Needs Improvement</v>
      </c>
      <c r="N12" s="12" t="str">
        <f t="shared" si="4"/>
        <v>Developing</v>
      </c>
      <c r="O12" s="12" t="str">
        <f t="shared" si="5"/>
        <v>Other</v>
      </c>
      <c r="P12" s="12" t="str">
        <f t="shared" si="6"/>
        <v>Non IT</v>
      </c>
      <c r="Q12" s="12" t="str">
        <f t="shared" si="7"/>
        <v>E1</v>
      </c>
      <c r="R12" s="18" t="str">
        <f t="shared" si="8"/>
        <v>10</v>
      </c>
      <c r="S12" s="12" t="str">
        <f t="shared" si="9"/>
        <v>11</v>
      </c>
      <c r="T12" s="12">
        <f t="shared" si="10"/>
        <v>4</v>
      </c>
      <c r="U12" s="12">
        <f t="shared" si="11"/>
        <v>5</v>
      </c>
      <c r="V12" s="12" t="str">
        <f t="shared" si="12"/>
        <v>E110 - Adil Hussain</v>
      </c>
    </row>
    <row r="13" spans="1:22" x14ac:dyDescent="0.35">
      <c r="A13" s="12" t="s">
        <v>40</v>
      </c>
      <c r="B13" s="12" t="s">
        <v>41</v>
      </c>
      <c r="C13" s="12" t="s">
        <v>27</v>
      </c>
      <c r="D13" s="12" t="s">
        <v>20</v>
      </c>
      <c r="E13" s="13">
        <v>44791</v>
      </c>
      <c r="F13" s="16">
        <v>49000</v>
      </c>
      <c r="G13" s="15">
        <v>0.09</v>
      </c>
      <c r="H13" s="12">
        <v>79</v>
      </c>
      <c r="I13" s="12">
        <v>8</v>
      </c>
      <c r="J13" s="16">
        <f t="shared" si="0"/>
        <v>4410</v>
      </c>
      <c r="K13" s="17">
        <f t="shared" si="1"/>
        <v>48069</v>
      </c>
      <c r="L13" s="17">
        <f t="shared" si="2"/>
        <v>51450</v>
      </c>
      <c r="M13" s="12" t="str">
        <f t="shared" si="3"/>
        <v>Needs Improvement</v>
      </c>
      <c r="N13" s="12" t="str">
        <f t="shared" si="4"/>
        <v>Developing</v>
      </c>
      <c r="O13" s="12" t="str">
        <f t="shared" si="5"/>
        <v>Key city</v>
      </c>
      <c r="P13" s="12" t="str">
        <f t="shared" si="6"/>
        <v>Non IT</v>
      </c>
      <c r="Q13" s="12" t="str">
        <f t="shared" si="7"/>
        <v>E1</v>
      </c>
      <c r="R13" s="18" t="str">
        <f t="shared" si="8"/>
        <v>11</v>
      </c>
      <c r="S13" s="12" t="str">
        <f t="shared" si="9"/>
        <v>11</v>
      </c>
      <c r="T13" s="12">
        <f t="shared" si="10"/>
        <v>4</v>
      </c>
      <c r="U13" s="12">
        <f t="shared" si="11"/>
        <v>6</v>
      </c>
      <c r="V13" s="12" t="str">
        <f t="shared" si="12"/>
        <v>E111 - Pooja Nair</v>
      </c>
    </row>
    <row r="14" spans="1:22" x14ac:dyDescent="0.35">
      <c r="A14" s="12" t="s">
        <v>42</v>
      </c>
      <c r="B14" s="12" t="s">
        <v>43</v>
      </c>
      <c r="C14" s="12" t="s">
        <v>15</v>
      </c>
      <c r="D14" s="12" t="s">
        <v>12</v>
      </c>
      <c r="E14" s="13">
        <v>44533</v>
      </c>
      <c r="F14" s="16">
        <v>53000</v>
      </c>
      <c r="G14" s="15">
        <v>0.14000000000000001</v>
      </c>
      <c r="H14" s="12">
        <v>87</v>
      </c>
      <c r="I14" s="12">
        <v>9</v>
      </c>
      <c r="J14" s="16">
        <f t="shared" si="0"/>
        <v>7420</v>
      </c>
      <c r="K14" s="17">
        <f t="shared" si="1"/>
        <v>54378</v>
      </c>
      <c r="L14" s="17">
        <f t="shared" si="2"/>
        <v>55650</v>
      </c>
      <c r="M14" s="12" t="str">
        <f t="shared" si="3"/>
        <v>Good</v>
      </c>
      <c r="N14" s="12" t="str">
        <f t="shared" si="4"/>
        <v>Ready</v>
      </c>
      <c r="O14" s="12" t="str">
        <f t="shared" si="5"/>
        <v>Key city</v>
      </c>
      <c r="P14" s="12" t="str">
        <f t="shared" si="6"/>
        <v>Non IT</v>
      </c>
      <c r="Q14" s="12" t="str">
        <f t="shared" si="7"/>
        <v>E1</v>
      </c>
      <c r="R14" s="18" t="str">
        <f t="shared" si="8"/>
        <v>12</v>
      </c>
      <c r="S14" s="12" t="str">
        <f t="shared" si="9"/>
        <v>11</v>
      </c>
      <c r="T14" s="12">
        <f t="shared" si="10"/>
        <v>4</v>
      </c>
      <c r="U14" s="12">
        <f t="shared" si="11"/>
        <v>4</v>
      </c>
      <c r="V14" s="12" t="str">
        <f t="shared" si="12"/>
        <v>E112 - Dev Malhotra</v>
      </c>
    </row>
    <row r="15" spans="1:22" x14ac:dyDescent="0.35">
      <c r="A15" s="12" t="s">
        <v>44</v>
      </c>
      <c r="B15" s="12" t="s">
        <v>45</v>
      </c>
      <c r="C15" s="12" t="s">
        <v>23</v>
      </c>
      <c r="D15" s="12" t="s">
        <v>46</v>
      </c>
      <c r="E15" s="13">
        <v>45037</v>
      </c>
      <c r="F15" s="16">
        <v>67000</v>
      </c>
      <c r="G15" s="15">
        <v>0.16</v>
      </c>
      <c r="H15" s="12">
        <v>93</v>
      </c>
      <c r="I15" s="12">
        <v>12</v>
      </c>
      <c r="J15" s="16">
        <f t="shared" si="0"/>
        <v>10720</v>
      </c>
      <c r="K15" s="17">
        <f t="shared" si="1"/>
        <v>69948</v>
      </c>
      <c r="L15" s="17">
        <f t="shared" si="2"/>
        <v>70350</v>
      </c>
      <c r="M15" s="12" t="str">
        <f t="shared" si="3"/>
        <v>Good</v>
      </c>
      <c r="N15" s="12" t="str">
        <f t="shared" si="4"/>
        <v>Ready</v>
      </c>
      <c r="O15" s="12" t="str">
        <f t="shared" si="5"/>
        <v>Other</v>
      </c>
      <c r="P15" s="12" t="str">
        <f t="shared" si="6"/>
        <v>IT</v>
      </c>
      <c r="Q15" s="12" t="str">
        <f t="shared" si="7"/>
        <v>E1</v>
      </c>
      <c r="R15" s="18" t="str">
        <f t="shared" si="8"/>
        <v>13</v>
      </c>
      <c r="S15" s="12" t="str">
        <f t="shared" si="9"/>
        <v>11</v>
      </c>
      <c r="T15" s="12">
        <f t="shared" si="10"/>
        <v>4</v>
      </c>
      <c r="U15" s="12">
        <f t="shared" si="11"/>
        <v>7</v>
      </c>
      <c r="V15" s="12" t="str">
        <f t="shared" si="12"/>
        <v>E113 - Ishita Bose</v>
      </c>
    </row>
    <row r="16" spans="1:22" x14ac:dyDescent="0.35">
      <c r="A16" s="12" t="s">
        <v>47</v>
      </c>
      <c r="B16" s="12" t="s">
        <v>48</v>
      </c>
      <c r="C16" s="12" t="s">
        <v>19</v>
      </c>
      <c r="D16" s="12" t="s">
        <v>33</v>
      </c>
      <c r="E16" s="13">
        <v>45350</v>
      </c>
      <c r="F16" s="16">
        <v>56000</v>
      </c>
      <c r="G16" s="15">
        <v>0.1</v>
      </c>
      <c r="H16" s="12">
        <v>72</v>
      </c>
      <c r="I16" s="12">
        <v>7</v>
      </c>
      <c r="J16" s="16">
        <f t="shared" si="0"/>
        <v>5600</v>
      </c>
      <c r="K16" s="17">
        <f t="shared" si="1"/>
        <v>55440</v>
      </c>
      <c r="L16" s="17">
        <f t="shared" si="2"/>
        <v>58800</v>
      </c>
      <c r="M16" s="12" t="str">
        <f t="shared" si="3"/>
        <v>Needs Improvement</v>
      </c>
      <c r="N16" s="12" t="str">
        <f t="shared" si="4"/>
        <v>Developing</v>
      </c>
      <c r="O16" s="12" t="str">
        <f t="shared" si="5"/>
        <v>Other</v>
      </c>
      <c r="P16" s="12" t="str">
        <f t="shared" si="6"/>
        <v>Non IT</v>
      </c>
      <c r="Q16" s="12" t="str">
        <f t="shared" si="7"/>
        <v>E1</v>
      </c>
      <c r="R16" s="18" t="str">
        <f t="shared" si="8"/>
        <v>14</v>
      </c>
      <c r="S16" s="12" t="str">
        <f t="shared" si="9"/>
        <v>11</v>
      </c>
      <c r="T16" s="12">
        <f t="shared" si="10"/>
        <v>4</v>
      </c>
      <c r="U16" s="12">
        <f t="shared" si="11"/>
        <v>6</v>
      </c>
      <c r="V16" s="12" t="str">
        <f t="shared" si="12"/>
        <v>E114 - Rahul Das</v>
      </c>
    </row>
    <row r="17" spans="1:22" x14ac:dyDescent="0.35">
      <c r="A17" s="12" t="s">
        <v>49</v>
      </c>
      <c r="B17" s="12" t="s">
        <v>50</v>
      </c>
      <c r="C17" s="12" t="s">
        <v>11</v>
      </c>
      <c r="D17" s="12" t="s">
        <v>28</v>
      </c>
      <c r="E17" s="13">
        <v>44723</v>
      </c>
      <c r="F17" s="16">
        <v>46000</v>
      </c>
      <c r="G17" s="15">
        <v>0.05</v>
      </c>
      <c r="H17" s="12">
        <v>85</v>
      </c>
      <c r="I17" s="12">
        <v>8</v>
      </c>
      <c r="J17" s="16">
        <f t="shared" si="0"/>
        <v>2300</v>
      </c>
      <c r="K17" s="17">
        <f t="shared" si="1"/>
        <v>43470</v>
      </c>
      <c r="L17" s="17">
        <f t="shared" si="2"/>
        <v>48300</v>
      </c>
      <c r="M17" s="12" t="str">
        <f t="shared" si="3"/>
        <v>Good</v>
      </c>
      <c r="N17" s="12" t="str">
        <f t="shared" si="4"/>
        <v>Developing</v>
      </c>
      <c r="O17" s="12" t="str">
        <f t="shared" si="5"/>
        <v>Other</v>
      </c>
      <c r="P17" s="12" t="str">
        <f t="shared" si="6"/>
        <v>Non IT</v>
      </c>
      <c r="Q17" s="12" t="str">
        <f t="shared" si="7"/>
        <v>E1</v>
      </c>
      <c r="R17" s="18" t="str">
        <f t="shared" si="8"/>
        <v>15</v>
      </c>
      <c r="S17" s="12" t="str">
        <f t="shared" si="9"/>
        <v>11</v>
      </c>
      <c r="T17" s="12">
        <f t="shared" si="10"/>
        <v>4</v>
      </c>
      <c r="U17" s="12">
        <f t="shared" si="11"/>
        <v>6</v>
      </c>
      <c r="V17" s="12" t="str">
        <f t="shared" si="12"/>
        <v>E115 - Tanya Kapoor</v>
      </c>
    </row>
    <row r="18" spans="1:22" x14ac:dyDescent="0.35">
      <c r="A18" s="12" t="s">
        <v>51</v>
      </c>
      <c r="B18" s="12" t="s">
        <v>52</v>
      </c>
      <c r="C18" s="12" t="s">
        <v>15</v>
      </c>
      <c r="D18" s="12" t="s">
        <v>24</v>
      </c>
      <c r="E18" s="13">
        <v>45247</v>
      </c>
      <c r="F18" s="16">
        <v>50000</v>
      </c>
      <c r="G18" s="15">
        <v>0.12</v>
      </c>
      <c r="H18" s="12">
        <v>66</v>
      </c>
      <c r="I18" s="12">
        <v>6</v>
      </c>
      <c r="J18" s="16">
        <f t="shared" si="0"/>
        <v>6000</v>
      </c>
      <c r="K18" s="17">
        <f t="shared" si="1"/>
        <v>50400</v>
      </c>
      <c r="L18" s="17">
        <f t="shared" si="2"/>
        <v>52500</v>
      </c>
      <c r="M18" s="12" t="str">
        <f t="shared" si="3"/>
        <v>Needs Improvement</v>
      </c>
      <c r="N18" s="12" t="str">
        <f t="shared" si="4"/>
        <v>Developing</v>
      </c>
      <c r="O18" s="12" t="str">
        <f t="shared" si="5"/>
        <v>Other</v>
      </c>
      <c r="P18" s="12" t="str">
        <f t="shared" si="6"/>
        <v>Non IT</v>
      </c>
      <c r="Q18" s="12" t="str">
        <f t="shared" si="7"/>
        <v>E1</v>
      </c>
      <c r="R18" s="18" t="str">
        <f t="shared" si="8"/>
        <v>16</v>
      </c>
      <c r="S18" s="12" t="str">
        <f t="shared" si="9"/>
        <v>11</v>
      </c>
      <c r="T18" s="12">
        <f t="shared" si="10"/>
        <v>4</v>
      </c>
      <c r="U18" s="12">
        <f t="shared" si="11"/>
        <v>5</v>
      </c>
      <c r="V18" s="12" t="str">
        <f t="shared" si="12"/>
        <v>E116 - Omar Farooq</v>
      </c>
    </row>
    <row r="19" spans="1:22" x14ac:dyDescent="0.35">
      <c r="A19" s="12" t="s">
        <v>53</v>
      </c>
      <c r="B19" s="12" t="s">
        <v>54</v>
      </c>
      <c r="C19" s="12" t="s">
        <v>27</v>
      </c>
      <c r="D19" s="12" t="s">
        <v>46</v>
      </c>
      <c r="E19" s="13">
        <v>44280</v>
      </c>
      <c r="F19" s="16">
        <v>48000</v>
      </c>
      <c r="G19" s="15">
        <v>0.08</v>
      </c>
      <c r="H19" s="12">
        <v>92</v>
      </c>
      <c r="I19" s="12">
        <v>10</v>
      </c>
      <c r="J19" s="16">
        <f t="shared" si="0"/>
        <v>3840</v>
      </c>
      <c r="K19" s="17">
        <f t="shared" si="1"/>
        <v>46656</v>
      </c>
      <c r="L19" s="17">
        <f t="shared" si="2"/>
        <v>50400</v>
      </c>
      <c r="M19" s="12" t="str">
        <f t="shared" si="3"/>
        <v>Good</v>
      </c>
      <c r="N19" s="12" t="str">
        <f t="shared" si="4"/>
        <v>Ready</v>
      </c>
      <c r="O19" s="12" t="str">
        <f t="shared" si="5"/>
        <v>Other</v>
      </c>
      <c r="P19" s="12" t="str">
        <f t="shared" si="6"/>
        <v>Non IT</v>
      </c>
      <c r="Q19" s="12" t="str">
        <f t="shared" si="7"/>
        <v>E1</v>
      </c>
      <c r="R19" s="18" t="str">
        <f t="shared" si="8"/>
        <v>17</v>
      </c>
      <c r="S19" s="12" t="str">
        <f t="shared" si="9"/>
        <v>11</v>
      </c>
      <c r="T19" s="12">
        <f t="shared" si="10"/>
        <v>4</v>
      </c>
      <c r="U19" s="12">
        <f t="shared" si="11"/>
        <v>7</v>
      </c>
      <c r="V19" s="12" t="str">
        <f t="shared" si="12"/>
        <v>E117 - Ananya Sen</v>
      </c>
    </row>
    <row r="20" spans="1:22" x14ac:dyDescent="0.35">
      <c r="A20" s="12" t="s">
        <v>55</v>
      </c>
      <c r="B20" s="12" t="s">
        <v>56</v>
      </c>
      <c r="C20" s="12" t="s">
        <v>23</v>
      </c>
      <c r="D20" s="12" t="s">
        <v>20</v>
      </c>
      <c r="E20" s="13">
        <v>44834</v>
      </c>
      <c r="F20" s="16">
        <v>70000</v>
      </c>
      <c r="G20" s="15">
        <v>0.18</v>
      </c>
      <c r="H20" s="12">
        <v>81</v>
      </c>
      <c r="I20" s="12">
        <v>9</v>
      </c>
      <c r="J20" s="16">
        <f t="shared" si="0"/>
        <v>12600</v>
      </c>
      <c r="K20" s="17">
        <f t="shared" si="1"/>
        <v>74340</v>
      </c>
      <c r="L20" s="17">
        <f t="shared" si="2"/>
        <v>73500</v>
      </c>
      <c r="M20" s="12" t="str">
        <f t="shared" si="3"/>
        <v>Good</v>
      </c>
      <c r="N20" s="12" t="str">
        <f t="shared" si="4"/>
        <v>Ready</v>
      </c>
      <c r="O20" s="12" t="str">
        <f t="shared" si="5"/>
        <v>Key city</v>
      </c>
      <c r="P20" s="12" t="str">
        <f t="shared" si="6"/>
        <v>IT</v>
      </c>
      <c r="Q20" s="12" t="str">
        <f t="shared" si="7"/>
        <v>E1</v>
      </c>
      <c r="R20" s="18" t="str">
        <f t="shared" si="8"/>
        <v>18</v>
      </c>
      <c r="S20" s="12" t="str">
        <f t="shared" si="9"/>
        <v>11</v>
      </c>
      <c r="T20" s="12">
        <f t="shared" si="10"/>
        <v>4</v>
      </c>
      <c r="U20" s="12">
        <f t="shared" si="11"/>
        <v>6</v>
      </c>
      <c r="V20" s="12" t="str">
        <f t="shared" si="12"/>
        <v>E118 - Karan Joshi</v>
      </c>
    </row>
    <row r="21" spans="1:22" x14ac:dyDescent="0.35">
      <c r="A21" s="12" t="s">
        <v>57</v>
      </c>
      <c r="B21" s="12" t="s">
        <v>58</v>
      </c>
      <c r="C21" s="12" t="s">
        <v>19</v>
      </c>
      <c r="D21" s="12" t="s">
        <v>12</v>
      </c>
      <c r="E21" s="13">
        <v>43964</v>
      </c>
      <c r="F21" s="16">
        <v>61000</v>
      </c>
      <c r="G21" s="15">
        <v>7.0000000000000007E-2</v>
      </c>
      <c r="H21" s="12">
        <v>74</v>
      </c>
      <c r="I21" s="12">
        <v>8</v>
      </c>
      <c r="J21" s="16">
        <f t="shared" si="0"/>
        <v>4270</v>
      </c>
      <c r="K21" s="17">
        <f t="shared" si="1"/>
        <v>58743</v>
      </c>
      <c r="L21" s="17">
        <f t="shared" si="2"/>
        <v>64050</v>
      </c>
      <c r="M21" s="12" t="str">
        <f t="shared" si="3"/>
        <v>Needs Improvement</v>
      </c>
      <c r="N21" s="12" t="str">
        <f t="shared" si="4"/>
        <v>Developing</v>
      </c>
      <c r="O21" s="12" t="str">
        <f t="shared" si="5"/>
        <v>Key city</v>
      </c>
      <c r="P21" s="12" t="str">
        <f t="shared" si="6"/>
        <v>Non IT</v>
      </c>
      <c r="Q21" s="12" t="str">
        <f t="shared" si="7"/>
        <v>E1</v>
      </c>
      <c r="R21" s="18" t="str">
        <f t="shared" si="8"/>
        <v>19</v>
      </c>
      <c r="S21" s="12" t="str">
        <f t="shared" si="9"/>
        <v>11</v>
      </c>
      <c r="T21" s="12">
        <f t="shared" si="10"/>
        <v>4</v>
      </c>
      <c r="U21" s="12">
        <f t="shared" si="11"/>
        <v>5</v>
      </c>
      <c r="V21" s="12" t="str">
        <f t="shared" si="12"/>
        <v>E119 - Maya Thomas</v>
      </c>
    </row>
    <row r="22" spans="1:22" x14ac:dyDescent="0.35">
      <c r="A22" s="12" t="s">
        <v>59</v>
      </c>
      <c r="B22" s="12" t="s">
        <v>60</v>
      </c>
      <c r="C22" s="12" t="s">
        <v>11</v>
      </c>
      <c r="D22" s="12" t="s">
        <v>16</v>
      </c>
      <c r="E22" s="13">
        <v>45467</v>
      </c>
      <c r="F22" s="16">
        <v>43000</v>
      </c>
      <c r="G22" s="15">
        <v>0.09</v>
      </c>
      <c r="H22" s="12">
        <v>89</v>
      </c>
      <c r="I22" s="12">
        <v>10</v>
      </c>
      <c r="J22" s="16">
        <f t="shared" si="0"/>
        <v>3870</v>
      </c>
      <c r="K22" s="17">
        <f t="shared" si="1"/>
        <v>42183</v>
      </c>
      <c r="L22" s="17">
        <f t="shared" si="2"/>
        <v>45150</v>
      </c>
      <c r="M22" s="12" t="str">
        <f t="shared" si="3"/>
        <v>Good</v>
      </c>
      <c r="N22" s="12" t="str">
        <f t="shared" si="4"/>
        <v>Ready</v>
      </c>
      <c r="O22" s="12" t="str">
        <f t="shared" si="5"/>
        <v>Other</v>
      </c>
      <c r="P22" s="12" t="str">
        <f t="shared" si="6"/>
        <v>Non IT</v>
      </c>
      <c r="Q22" s="12" t="str">
        <f t="shared" si="7"/>
        <v>E1</v>
      </c>
      <c r="R22" s="18" t="str">
        <f t="shared" si="8"/>
        <v>20</v>
      </c>
      <c r="S22" s="12" t="str">
        <f t="shared" si="9"/>
        <v>12</v>
      </c>
      <c r="T22" s="12">
        <f t="shared" si="10"/>
        <v>4</v>
      </c>
      <c r="U22" s="12">
        <f t="shared" si="11"/>
        <v>7</v>
      </c>
      <c r="V22" s="12" t="str">
        <f t="shared" si="12"/>
        <v>E120 - Sameer Khan</v>
      </c>
    </row>
    <row r="23" spans="1:22" x14ac:dyDescent="0.35">
      <c r="A23" s="12" t="s">
        <v>61</v>
      </c>
      <c r="B23" s="12" t="s">
        <v>62</v>
      </c>
      <c r="C23" s="12" t="s">
        <v>15</v>
      </c>
      <c r="D23" s="12" t="s">
        <v>28</v>
      </c>
      <c r="E23" s="13">
        <v>44911</v>
      </c>
      <c r="F23" s="16">
        <v>52000</v>
      </c>
      <c r="G23" s="15">
        <v>0.13</v>
      </c>
      <c r="H23" s="12">
        <v>77</v>
      </c>
      <c r="I23" s="12">
        <v>7</v>
      </c>
      <c r="J23" s="16">
        <f t="shared" si="0"/>
        <v>6760</v>
      </c>
      <c r="K23" s="17">
        <f t="shared" si="1"/>
        <v>52884</v>
      </c>
      <c r="L23" s="17">
        <f t="shared" si="2"/>
        <v>54600</v>
      </c>
      <c r="M23" s="12" t="str">
        <f t="shared" si="3"/>
        <v>Needs Improvement</v>
      </c>
      <c r="N23" s="12" t="str">
        <f t="shared" si="4"/>
        <v>Developing</v>
      </c>
      <c r="O23" s="12" t="str">
        <f t="shared" si="5"/>
        <v>Other</v>
      </c>
      <c r="P23" s="12" t="str">
        <f t="shared" si="6"/>
        <v>Non IT</v>
      </c>
      <c r="Q23" s="12" t="str">
        <f t="shared" si="7"/>
        <v>E1</v>
      </c>
      <c r="R23" s="18" t="str">
        <f t="shared" si="8"/>
        <v>21</v>
      </c>
      <c r="S23" s="12" t="str">
        <f t="shared" si="9"/>
        <v>12</v>
      </c>
      <c r="T23" s="12">
        <f t="shared" si="10"/>
        <v>4</v>
      </c>
      <c r="U23" s="12">
        <f t="shared" si="11"/>
        <v>5</v>
      </c>
      <c r="V23" s="12" t="str">
        <f t="shared" si="12"/>
        <v>E121 - Riya Gupta</v>
      </c>
    </row>
    <row r="24" spans="1:22" x14ac:dyDescent="0.35">
      <c r="A24" s="12" t="s">
        <v>63</v>
      </c>
      <c r="B24" s="12" t="s">
        <v>64</v>
      </c>
      <c r="C24" s="12" t="s">
        <v>23</v>
      </c>
      <c r="D24" s="12" t="s">
        <v>33</v>
      </c>
      <c r="E24" s="13">
        <v>45114</v>
      </c>
      <c r="F24" s="16">
        <v>64000</v>
      </c>
      <c r="G24" s="15">
        <v>0.11</v>
      </c>
      <c r="H24" s="12">
        <v>96</v>
      </c>
      <c r="I24" s="12">
        <v>13</v>
      </c>
      <c r="J24" s="16">
        <f t="shared" si="0"/>
        <v>7040</v>
      </c>
      <c r="K24" s="17">
        <f t="shared" si="1"/>
        <v>63936</v>
      </c>
      <c r="L24" s="17">
        <f t="shared" si="2"/>
        <v>67200</v>
      </c>
      <c r="M24" s="12" t="str">
        <f t="shared" si="3"/>
        <v>Good</v>
      </c>
      <c r="N24" s="12" t="str">
        <f t="shared" si="4"/>
        <v>Ready</v>
      </c>
      <c r="O24" s="12" t="str">
        <f t="shared" si="5"/>
        <v>Other</v>
      </c>
      <c r="P24" s="12" t="str">
        <f t="shared" si="6"/>
        <v>IT</v>
      </c>
      <c r="Q24" s="12" t="str">
        <f t="shared" si="7"/>
        <v>E1</v>
      </c>
      <c r="R24" s="18" t="str">
        <f t="shared" si="8"/>
        <v>22</v>
      </c>
      <c r="S24" s="12" t="str">
        <f t="shared" si="9"/>
        <v>12</v>
      </c>
      <c r="T24" s="12">
        <f t="shared" si="10"/>
        <v>4</v>
      </c>
      <c r="U24" s="12">
        <f t="shared" si="11"/>
        <v>5</v>
      </c>
      <c r="V24" s="12" t="str">
        <f t="shared" si="12"/>
        <v>E122 - Zaid Ahmed</v>
      </c>
    </row>
    <row r="25" spans="1:22" x14ac:dyDescent="0.35">
      <c r="A25" s="12" t="s">
        <v>65</v>
      </c>
      <c r="B25" s="12" t="s">
        <v>66</v>
      </c>
      <c r="C25" s="12" t="s">
        <v>27</v>
      </c>
      <c r="D25" s="12" t="s">
        <v>24</v>
      </c>
      <c r="E25" s="13">
        <v>45384</v>
      </c>
      <c r="F25" s="16">
        <v>46000</v>
      </c>
      <c r="G25" s="15">
        <v>0.06</v>
      </c>
      <c r="H25" s="12">
        <v>68</v>
      </c>
      <c r="I25" s="12">
        <v>6</v>
      </c>
      <c r="J25" s="16">
        <f t="shared" si="0"/>
        <v>2760</v>
      </c>
      <c r="K25" s="17">
        <f t="shared" si="1"/>
        <v>43884</v>
      </c>
      <c r="L25" s="17">
        <f t="shared" si="2"/>
        <v>48300</v>
      </c>
      <c r="M25" s="12" t="str">
        <f t="shared" si="3"/>
        <v>Needs Improvement</v>
      </c>
      <c r="N25" s="12" t="str">
        <f t="shared" si="4"/>
        <v>Developing</v>
      </c>
      <c r="O25" s="12" t="str">
        <f t="shared" si="5"/>
        <v>Other</v>
      </c>
      <c r="P25" s="12" t="str">
        <f t="shared" si="6"/>
        <v>Non IT</v>
      </c>
      <c r="Q25" s="12" t="str">
        <f t="shared" si="7"/>
        <v>E1</v>
      </c>
      <c r="R25" s="18" t="str">
        <f t="shared" si="8"/>
        <v>23</v>
      </c>
      <c r="S25" s="12" t="str">
        <f t="shared" si="9"/>
        <v>12</v>
      </c>
      <c r="T25" s="12">
        <f t="shared" si="10"/>
        <v>4</v>
      </c>
      <c r="U25" s="12">
        <f t="shared" si="11"/>
        <v>6</v>
      </c>
      <c r="V25" s="12" t="str">
        <f t="shared" si="12"/>
        <v>E123 - Priya Menon</v>
      </c>
    </row>
    <row r="26" spans="1:22" x14ac:dyDescent="0.35">
      <c r="A26" s="12" t="s">
        <v>67</v>
      </c>
      <c r="B26" s="12" t="s">
        <v>68</v>
      </c>
      <c r="C26" s="12" t="s">
        <v>19</v>
      </c>
      <c r="D26" s="12" t="s">
        <v>20</v>
      </c>
      <c r="E26" s="13">
        <v>44225</v>
      </c>
      <c r="F26" s="16">
        <v>59000</v>
      </c>
      <c r="G26" s="15">
        <v>0.09</v>
      </c>
      <c r="H26" s="12">
        <v>86</v>
      </c>
      <c r="I26" s="12">
        <v>9</v>
      </c>
      <c r="J26" s="16">
        <f t="shared" si="0"/>
        <v>5310</v>
      </c>
      <c r="K26" s="17">
        <f t="shared" si="1"/>
        <v>57879</v>
      </c>
      <c r="L26" s="17">
        <f t="shared" si="2"/>
        <v>61950</v>
      </c>
      <c r="M26" s="12" t="str">
        <f t="shared" si="3"/>
        <v>Good</v>
      </c>
      <c r="N26" s="12" t="str">
        <f t="shared" si="4"/>
        <v>Ready</v>
      </c>
      <c r="O26" s="12" t="str">
        <f t="shared" si="5"/>
        <v>Key city</v>
      </c>
      <c r="P26" s="12" t="str">
        <f t="shared" si="6"/>
        <v>Non IT</v>
      </c>
      <c r="Q26" s="12" t="str">
        <f t="shared" si="7"/>
        <v>E1</v>
      </c>
      <c r="R26" s="18" t="str">
        <f t="shared" si="8"/>
        <v>24</v>
      </c>
      <c r="S26" s="12" t="str">
        <f t="shared" si="9"/>
        <v>12</v>
      </c>
      <c r="T26" s="12">
        <f t="shared" si="10"/>
        <v>4</v>
      </c>
      <c r="U26" s="12">
        <f t="shared" si="11"/>
        <v>6</v>
      </c>
      <c r="V26" s="12" t="str">
        <f t="shared" si="12"/>
        <v>E124 - Manav Bhat</v>
      </c>
    </row>
    <row r="27" spans="1:22" x14ac:dyDescent="0.35">
      <c r="A27" s="12" t="s">
        <v>69</v>
      </c>
      <c r="B27" s="12" t="s">
        <v>70</v>
      </c>
      <c r="C27" s="12" t="s">
        <v>11</v>
      </c>
      <c r="D27" s="12" t="s">
        <v>46</v>
      </c>
      <c r="E27" s="13">
        <v>45161</v>
      </c>
      <c r="F27" s="16">
        <v>45500</v>
      </c>
      <c r="G27" s="15">
        <v>0.1</v>
      </c>
      <c r="H27" s="12">
        <v>80</v>
      </c>
      <c r="I27" s="12">
        <v>8</v>
      </c>
      <c r="J27" s="16">
        <f t="shared" si="0"/>
        <v>4550</v>
      </c>
      <c r="K27" s="17">
        <f t="shared" si="1"/>
        <v>45045</v>
      </c>
      <c r="L27" s="17">
        <f t="shared" si="2"/>
        <v>47775</v>
      </c>
      <c r="M27" s="12" t="str">
        <f t="shared" si="3"/>
        <v>Good</v>
      </c>
      <c r="N27" s="12" t="str">
        <f t="shared" si="4"/>
        <v>Developing</v>
      </c>
      <c r="O27" s="12" t="str">
        <f t="shared" si="5"/>
        <v>Other</v>
      </c>
      <c r="P27" s="12" t="str">
        <f t="shared" si="6"/>
        <v>Non IT</v>
      </c>
      <c r="Q27" s="19" t="str">
        <f t="shared" si="7"/>
        <v>E1</v>
      </c>
      <c r="R27" s="18" t="str">
        <f t="shared" si="8"/>
        <v>25</v>
      </c>
      <c r="S27" s="12" t="str">
        <f t="shared" si="9"/>
        <v>12</v>
      </c>
      <c r="T27" s="12">
        <f t="shared" si="10"/>
        <v>4</v>
      </c>
      <c r="U27" s="12">
        <f t="shared" si="11"/>
        <v>5</v>
      </c>
      <c r="V27" s="12" t="str">
        <f t="shared" si="12"/>
        <v>E125 - Sana Qureshi</v>
      </c>
    </row>
    <row r="28" spans="1:22" x14ac:dyDescent="0.35">
      <c r="E28" s="32" t="s">
        <v>107</v>
      </c>
      <c r="F28" s="20">
        <f>SUM(F3:F27)</f>
        <v>1337500</v>
      </c>
      <c r="L28" s="17"/>
      <c r="Q28" t="str">
        <f t="shared" si="7"/>
        <v/>
      </c>
      <c r="R28" s="20" t="str">
        <f t="shared" si="8"/>
        <v/>
      </c>
      <c r="S28" t="str">
        <f t="shared" si="9"/>
        <v/>
      </c>
    </row>
    <row r="29" spans="1:22" x14ac:dyDescent="0.35">
      <c r="E29" s="32" t="s">
        <v>108</v>
      </c>
      <c r="F29" s="20">
        <f>MIN(F3:F27)</f>
        <v>42000</v>
      </c>
      <c r="L29" s="17"/>
      <c r="Q29" t="str">
        <f t="shared" si="7"/>
        <v/>
      </c>
      <c r="R29" s="20" t="str">
        <f t="shared" si="8"/>
        <v/>
      </c>
      <c r="S29" t="str">
        <f t="shared" si="9"/>
        <v/>
      </c>
    </row>
    <row r="30" spans="1:22" x14ac:dyDescent="0.35">
      <c r="E30" s="32" t="s">
        <v>109</v>
      </c>
      <c r="F30" s="20">
        <f>MAX(F3:F27)</f>
        <v>70000</v>
      </c>
      <c r="L30" s="17"/>
      <c r="Q30" t="str">
        <f t="shared" si="7"/>
        <v/>
      </c>
      <c r="R30" s="20" t="str">
        <f t="shared" si="8"/>
        <v/>
      </c>
      <c r="S30" t="str">
        <f t="shared" si="9"/>
        <v/>
      </c>
    </row>
    <row r="31" spans="1:22" x14ac:dyDescent="0.35">
      <c r="E31" s="32" t="s">
        <v>110</v>
      </c>
      <c r="F31" s="20">
        <f>AVERAGE(F3:F27)</f>
        <v>53500</v>
      </c>
      <c r="L31" s="17"/>
    </row>
    <row r="38" spans="4:6" x14ac:dyDescent="0.35">
      <c r="D38" s="20" t="s">
        <v>111</v>
      </c>
      <c r="E38">
        <f>COUNT(F3:F27)</f>
        <v>25</v>
      </c>
      <c r="F38"/>
    </row>
    <row r="39" spans="4:6" x14ac:dyDescent="0.35">
      <c r="D39" s="20" t="s">
        <v>112</v>
      </c>
      <c r="E39">
        <f>COUNTA(E43:E55)</f>
        <v>12</v>
      </c>
      <c r="F39"/>
    </row>
    <row r="40" spans="4:6" x14ac:dyDescent="0.35">
      <c r="D40" s="20" t="s">
        <v>113</v>
      </c>
      <c r="E40">
        <f>COUNTBLANK(E43:E55)</f>
        <v>1</v>
      </c>
      <c r="F40"/>
    </row>
    <row r="41" spans="4:6" x14ac:dyDescent="0.35">
      <c r="F41"/>
    </row>
    <row r="42" spans="4:6" x14ac:dyDescent="0.35">
      <c r="E42" s="22" t="s">
        <v>114</v>
      </c>
      <c r="F42"/>
    </row>
    <row r="43" spans="4:6" x14ac:dyDescent="0.35">
      <c r="E43" s="12" t="s">
        <v>12</v>
      </c>
      <c r="F43"/>
    </row>
    <row r="44" spans="4:6" x14ac:dyDescent="0.35">
      <c r="E44" s="12" t="s">
        <v>16</v>
      </c>
      <c r="F44"/>
    </row>
    <row r="45" spans="4:6" x14ac:dyDescent="0.35">
      <c r="E45" s="12"/>
      <c r="F45"/>
    </row>
    <row r="46" spans="4:6" x14ac:dyDescent="0.35">
      <c r="E46" s="12" t="s">
        <v>24</v>
      </c>
      <c r="F46"/>
    </row>
    <row r="47" spans="4:6" x14ac:dyDescent="0.35">
      <c r="E47" s="12" t="s">
        <v>28</v>
      </c>
      <c r="F47"/>
    </row>
    <row r="48" spans="4:6" x14ac:dyDescent="0.35">
      <c r="E48" s="12" t="s">
        <v>12</v>
      </c>
      <c r="F48"/>
    </row>
    <row r="49" spans="5:6" x14ac:dyDescent="0.35">
      <c r="E49" s="12" t="s">
        <v>33</v>
      </c>
      <c r="F49"/>
    </row>
    <row r="50" spans="5:6" x14ac:dyDescent="0.35">
      <c r="E50" s="12" t="s">
        <v>16</v>
      </c>
      <c r="F50"/>
    </row>
    <row r="51" spans="5:6" x14ac:dyDescent="0.35">
      <c r="E51" s="12" t="s">
        <v>28</v>
      </c>
      <c r="F51"/>
    </row>
    <row r="52" spans="5:6" x14ac:dyDescent="0.35">
      <c r="E52" s="12" t="s">
        <v>24</v>
      </c>
      <c r="F52"/>
    </row>
    <row r="53" spans="5:6" x14ac:dyDescent="0.35">
      <c r="E53" s="12" t="s">
        <v>20</v>
      </c>
      <c r="F53"/>
    </row>
    <row r="54" spans="5:6" x14ac:dyDescent="0.35">
      <c r="E54" s="12" t="s">
        <v>12</v>
      </c>
      <c r="F54"/>
    </row>
    <row r="55" spans="5:6" x14ac:dyDescent="0.35">
      <c r="E55" s="12" t="s">
        <v>46</v>
      </c>
      <c r="F55"/>
    </row>
    <row r="56" spans="5:6" x14ac:dyDescent="0.35">
      <c r="F56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FE6-C42D-4B33-A048-A7C9AFC547F1}">
  <sheetPr filterMode="1"/>
  <dimension ref="A1:Z28"/>
  <sheetViews>
    <sheetView topLeftCell="L1" workbookViewId="0">
      <selection activeCell="G36" sqref="G36"/>
    </sheetView>
  </sheetViews>
  <sheetFormatPr defaultRowHeight="14.5" x14ac:dyDescent="0.35"/>
  <cols>
    <col min="2" max="2" width="10.08984375" customWidth="1"/>
    <col min="3" max="3" width="14.08984375" customWidth="1"/>
    <col min="5" max="5" width="12.7265625" customWidth="1"/>
    <col min="6" max="6" width="11.90625" customWidth="1"/>
    <col min="10" max="10" width="10.08984375" bestFit="1" customWidth="1"/>
    <col min="19" max="19" width="12.54296875" bestFit="1" customWidth="1"/>
    <col min="20" max="20" width="12.81640625" bestFit="1" customWidth="1"/>
    <col min="22" max="22" width="11.7265625" bestFit="1" customWidth="1"/>
  </cols>
  <sheetData>
    <row r="1" spans="1:26" x14ac:dyDescent="0.35">
      <c r="A1" t="s">
        <v>115</v>
      </c>
      <c r="D1" t="s">
        <v>116</v>
      </c>
    </row>
    <row r="2" spans="1:26" x14ac:dyDescent="0.35">
      <c r="R2" t="s">
        <v>89</v>
      </c>
    </row>
    <row r="3" spans="1:26" ht="31" x14ac:dyDescent="0.35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  <c r="Z3" s="1" t="s">
        <v>8</v>
      </c>
    </row>
    <row r="4" spans="1:26" ht="29" x14ac:dyDescent="0.35">
      <c r="A4" s="23" t="s">
        <v>0</v>
      </c>
      <c r="B4" s="23" t="s">
        <v>1</v>
      </c>
      <c r="C4" s="23" t="s">
        <v>2</v>
      </c>
      <c r="D4" s="23" t="s">
        <v>3</v>
      </c>
      <c r="E4" s="24" t="s">
        <v>4</v>
      </c>
      <c r="F4" s="25" t="s">
        <v>5</v>
      </c>
      <c r="G4" s="26" t="s">
        <v>6</v>
      </c>
      <c r="H4" s="23" t="s">
        <v>7</v>
      </c>
      <c r="I4" s="23" t="s">
        <v>8</v>
      </c>
      <c r="J4" s="23" t="s">
        <v>98</v>
      </c>
      <c r="R4" t="s">
        <v>63</v>
      </c>
      <c r="S4" t="s">
        <v>64</v>
      </c>
      <c r="T4" t="s">
        <v>23</v>
      </c>
      <c r="U4" t="s">
        <v>33</v>
      </c>
      <c r="V4" s="2">
        <v>45114</v>
      </c>
      <c r="W4" s="3">
        <v>64000</v>
      </c>
      <c r="X4" s="4">
        <v>0.11</v>
      </c>
      <c r="Y4">
        <v>96</v>
      </c>
      <c r="Z4">
        <v>13</v>
      </c>
    </row>
    <row r="5" spans="1:26" hidden="1" x14ac:dyDescent="0.35">
      <c r="A5" s="12" t="s">
        <v>9</v>
      </c>
      <c r="B5" s="12" t="s">
        <v>10</v>
      </c>
      <c r="C5" s="12" t="s">
        <v>11</v>
      </c>
      <c r="D5" s="12" t="s">
        <v>12</v>
      </c>
      <c r="E5" s="13">
        <v>45306</v>
      </c>
      <c r="F5" s="27">
        <v>42000</v>
      </c>
      <c r="G5" s="15">
        <v>0.08</v>
      </c>
      <c r="H5" s="12">
        <v>82</v>
      </c>
      <c r="I5" s="12">
        <v>7</v>
      </c>
      <c r="J5" s="12" t="s">
        <v>120</v>
      </c>
      <c r="R5" t="s">
        <v>29</v>
      </c>
      <c r="S5" t="s">
        <v>30</v>
      </c>
      <c r="T5" t="s">
        <v>11</v>
      </c>
      <c r="U5" t="s">
        <v>12</v>
      </c>
      <c r="V5" s="2">
        <v>44396</v>
      </c>
      <c r="W5" s="3">
        <v>45000</v>
      </c>
      <c r="X5" s="4">
        <v>0.09</v>
      </c>
      <c r="Y5">
        <v>95</v>
      </c>
      <c r="Z5">
        <v>11</v>
      </c>
    </row>
    <row r="6" spans="1:26" x14ac:dyDescent="0.35">
      <c r="A6" s="12" t="s">
        <v>13</v>
      </c>
      <c r="B6" s="12" t="s">
        <v>14</v>
      </c>
      <c r="C6" s="12" t="s">
        <v>117</v>
      </c>
      <c r="D6" s="12" t="s">
        <v>16</v>
      </c>
      <c r="E6" s="13">
        <v>45097</v>
      </c>
      <c r="F6" s="28">
        <v>51000</v>
      </c>
      <c r="G6" s="15">
        <v>0.12</v>
      </c>
      <c r="H6" s="12">
        <v>91</v>
      </c>
      <c r="I6" s="12">
        <v>9</v>
      </c>
      <c r="J6" s="12" t="s">
        <v>121</v>
      </c>
      <c r="R6" t="s">
        <v>44</v>
      </c>
      <c r="S6" t="s">
        <v>45</v>
      </c>
      <c r="T6" t="s">
        <v>23</v>
      </c>
      <c r="U6" t="s">
        <v>46</v>
      </c>
      <c r="V6" s="2">
        <v>45037</v>
      </c>
      <c r="W6" s="3">
        <v>67000</v>
      </c>
      <c r="X6" s="4">
        <v>0.16</v>
      </c>
      <c r="Y6">
        <v>93</v>
      </c>
      <c r="Z6">
        <v>12</v>
      </c>
    </row>
    <row r="7" spans="1:26" hidden="1" x14ac:dyDescent="0.35">
      <c r="A7" s="12" t="s">
        <v>17</v>
      </c>
      <c r="B7" s="12" t="s">
        <v>18</v>
      </c>
      <c r="C7" s="12" t="s">
        <v>19</v>
      </c>
      <c r="D7" s="12" t="s">
        <v>20</v>
      </c>
      <c r="E7" s="13">
        <v>44873</v>
      </c>
      <c r="F7" s="28">
        <v>58000</v>
      </c>
      <c r="G7" s="15">
        <v>0.1</v>
      </c>
      <c r="H7" s="12">
        <v>76</v>
      </c>
      <c r="I7" s="12">
        <v>8</v>
      </c>
      <c r="J7" s="12" t="s">
        <v>120</v>
      </c>
      <c r="R7" t="s">
        <v>53</v>
      </c>
      <c r="S7" t="s">
        <v>54</v>
      </c>
      <c r="T7" t="s">
        <v>27</v>
      </c>
      <c r="U7" t="s">
        <v>46</v>
      </c>
      <c r="V7" s="2">
        <v>44280</v>
      </c>
      <c r="W7" s="3">
        <v>48000</v>
      </c>
      <c r="X7" s="4">
        <v>0.08</v>
      </c>
      <c r="Y7">
        <v>92</v>
      </c>
      <c r="Z7">
        <v>10</v>
      </c>
    </row>
    <row r="8" spans="1:26" hidden="1" x14ac:dyDescent="0.35">
      <c r="A8" s="12" t="s">
        <v>21</v>
      </c>
      <c r="B8" s="12" t="s">
        <v>22</v>
      </c>
      <c r="C8" s="12" t="s">
        <v>23</v>
      </c>
      <c r="D8" s="12" t="s">
        <v>24</v>
      </c>
      <c r="E8" s="13">
        <v>45363</v>
      </c>
      <c r="F8" s="28">
        <v>65000</v>
      </c>
      <c r="G8" s="15">
        <v>0.15</v>
      </c>
      <c r="H8" s="12">
        <v>88</v>
      </c>
      <c r="I8" s="12">
        <v>10</v>
      </c>
      <c r="J8" s="12" t="s">
        <v>121</v>
      </c>
      <c r="R8" t="s">
        <v>13</v>
      </c>
      <c r="S8" t="s">
        <v>14</v>
      </c>
      <c r="T8" t="s">
        <v>15</v>
      </c>
      <c r="U8" t="s">
        <v>16</v>
      </c>
      <c r="V8" s="2">
        <v>45097</v>
      </c>
      <c r="W8" s="3">
        <v>51000</v>
      </c>
      <c r="X8" s="4">
        <v>0.12</v>
      </c>
      <c r="Y8">
        <v>91</v>
      </c>
      <c r="Z8">
        <v>9</v>
      </c>
    </row>
    <row r="9" spans="1:26" hidden="1" x14ac:dyDescent="0.35">
      <c r="A9" s="12" t="s">
        <v>25</v>
      </c>
      <c r="B9" s="12" t="s">
        <v>26</v>
      </c>
      <c r="C9" s="12" t="s">
        <v>27</v>
      </c>
      <c r="D9" s="12" t="s">
        <v>28</v>
      </c>
      <c r="E9" s="13">
        <v>45170</v>
      </c>
      <c r="F9" s="28">
        <v>47000</v>
      </c>
      <c r="G9" s="15">
        <v>7.0000000000000007E-2</v>
      </c>
      <c r="H9" s="12">
        <v>69</v>
      </c>
      <c r="I9" s="12">
        <v>6</v>
      </c>
      <c r="J9" s="12" t="s">
        <v>120</v>
      </c>
      <c r="R9" t="s">
        <v>36</v>
      </c>
      <c r="S9" t="s">
        <v>37</v>
      </c>
      <c r="T9" t="s">
        <v>19</v>
      </c>
      <c r="U9" t="s">
        <v>28</v>
      </c>
      <c r="V9" s="2">
        <v>44130</v>
      </c>
      <c r="W9" s="3">
        <v>60000</v>
      </c>
      <c r="X9" s="4">
        <v>0.08</v>
      </c>
      <c r="Y9">
        <v>90</v>
      </c>
      <c r="Z9">
        <v>10</v>
      </c>
    </row>
    <row r="10" spans="1:26" hidden="1" x14ac:dyDescent="0.35">
      <c r="A10" s="12" t="s">
        <v>29</v>
      </c>
      <c r="B10" s="12" t="s">
        <v>30</v>
      </c>
      <c r="C10" s="12" t="s">
        <v>11</v>
      </c>
      <c r="D10" s="12" t="s">
        <v>12</v>
      </c>
      <c r="E10" s="13">
        <v>44396</v>
      </c>
      <c r="F10" s="28">
        <v>45000</v>
      </c>
      <c r="G10" s="15">
        <v>0.09</v>
      </c>
      <c r="H10" s="12">
        <v>95</v>
      </c>
      <c r="I10" s="12">
        <v>11</v>
      </c>
      <c r="J10" s="12" t="s">
        <v>121</v>
      </c>
      <c r="R10" t="s">
        <v>59</v>
      </c>
      <c r="S10" t="s">
        <v>60</v>
      </c>
      <c r="T10" t="s">
        <v>11</v>
      </c>
      <c r="U10" t="s">
        <v>16</v>
      </c>
      <c r="V10" s="2">
        <v>45467</v>
      </c>
      <c r="W10" s="3">
        <v>43000</v>
      </c>
      <c r="X10" s="4">
        <v>0.09</v>
      </c>
      <c r="Y10">
        <v>89</v>
      </c>
      <c r="Z10">
        <v>10</v>
      </c>
    </row>
    <row r="11" spans="1:26" x14ac:dyDescent="0.35">
      <c r="A11" s="12" t="s">
        <v>31</v>
      </c>
      <c r="B11" s="12" t="s">
        <v>32</v>
      </c>
      <c r="C11" s="12" t="s">
        <v>117</v>
      </c>
      <c r="D11" s="12" t="s">
        <v>33</v>
      </c>
      <c r="E11" s="13">
        <v>44606</v>
      </c>
      <c r="F11" s="28">
        <v>54000</v>
      </c>
      <c r="G11" s="15">
        <v>0.11</v>
      </c>
      <c r="H11" s="12">
        <v>84</v>
      </c>
      <c r="I11" s="12">
        <v>9</v>
      </c>
      <c r="J11" s="12" t="s">
        <v>121</v>
      </c>
      <c r="R11" t="s">
        <v>21</v>
      </c>
      <c r="S11" t="s">
        <v>22</v>
      </c>
      <c r="T11" t="s">
        <v>23</v>
      </c>
      <c r="U11" t="s">
        <v>24</v>
      </c>
      <c r="V11" s="2">
        <v>45363</v>
      </c>
      <c r="W11" s="3">
        <v>65000</v>
      </c>
      <c r="X11" s="4">
        <v>0.15</v>
      </c>
      <c r="Y11">
        <v>88</v>
      </c>
      <c r="Z11">
        <v>10</v>
      </c>
    </row>
    <row r="12" spans="1:26" hidden="1" x14ac:dyDescent="0.35">
      <c r="A12" s="12" t="s">
        <v>34</v>
      </c>
      <c r="B12" s="12" t="s">
        <v>35</v>
      </c>
      <c r="C12" s="12" t="s">
        <v>23</v>
      </c>
      <c r="D12" s="12" t="s">
        <v>16</v>
      </c>
      <c r="E12" s="13">
        <v>45418</v>
      </c>
      <c r="F12" s="28">
        <v>62000</v>
      </c>
      <c r="G12" s="15">
        <v>0.13</v>
      </c>
      <c r="H12" s="12">
        <v>73</v>
      </c>
      <c r="I12" s="12">
        <v>7</v>
      </c>
      <c r="J12" s="12" t="s">
        <v>120</v>
      </c>
      <c r="R12" t="s">
        <v>42</v>
      </c>
      <c r="S12" t="s">
        <v>43</v>
      </c>
      <c r="T12" t="s">
        <v>15</v>
      </c>
      <c r="U12" t="s">
        <v>12</v>
      </c>
      <c r="V12" s="2">
        <v>44533</v>
      </c>
      <c r="W12" s="3">
        <v>53000</v>
      </c>
      <c r="X12" s="4">
        <v>0.14000000000000001</v>
      </c>
      <c r="Y12">
        <v>87</v>
      </c>
      <c r="Z12">
        <v>9</v>
      </c>
    </row>
    <row r="13" spans="1:26" hidden="1" x14ac:dyDescent="0.35">
      <c r="A13" s="12" t="s">
        <v>36</v>
      </c>
      <c r="B13" s="12" t="s">
        <v>37</v>
      </c>
      <c r="C13" s="12" t="s">
        <v>19</v>
      </c>
      <c r="D13" s="12" t="s">
        <v>28</v>
      </c>
      <c r="E13" s="13">
        <v>44130</v>
      </c>
      <c r="F13" s="28">
        <v>60000</v>
      </c>
      <c r="G13" s="15">
        <v>0.08</v>
      </c>
      <c r="H13" s="12">
        <v>90</v>
      </c>
      <c r="I13" s="12">
        <v>10</v>
      </c>
      <c r="J13" s="12" t="s">
        <v>121</v>
      </c>
      <c r="R13" t="s">
        <v>67</v>
      </c>
      <c r="S13" t="s">
        <v>68</v>
      </c>
      <c r="T13" t="s">
        <v>19</v>
      </c>
      <c r="U13" t="s">
        <v>20</v>
      </c>
      <c r="V13" s="2">
        <v>44225</v>
      </c>
      <c r="W13" s="3">
        <v>59000</v>
      </c>
      <c r="X13" s="4">
        <v>0.09</v>
      </c>
      <c r="Y13">
        <v>86</v>
      </c>
      <c r="Z13">
        <v>9</v>
      </c>
    </row>
    <row r="14" spans="1:26" hidden="1" x14ac:dyDescent="0.35">
      <c r="A14" s="12" t="s">
        <v>38</v>
      </c>
      <c r="B14" s="12" t="s">
        <v>39</v>
      </c>
      <c r="C14" s="12" t="s">
        <v>11</v>
      </c>
      <c r="D14" s="12" t="s">
        <v>24</v>
      </c>
      <c r="E14" s="13">
        <v>44935</v>
      </c>
      <c r="F14" s="28">
        <v>44000</v>
      </c>
      <c r="G14" s="15">
        <v>0.06</v>
      </c>
      <c r="H14" s="12">
        <v>61</v>
      </c>
      <c r="I14" s="12">
        <v>5</v>
      </c>
      <c r="J14" s="12" t="s">
        <v>120</v>
      </c>
      <c r="R14" t="s">
        <v>49</v>
      </c>
      <c r="S14" t="s">
        <v>50</v>
      </c>
      <c r="T14" t="s">
        <v>11</v>
      </c>
      <c r="U14" t="s">
        <v>28</v>
      </c>
      <c r="V14" s="2">
        <v>44723</v>
      </c>
      <c r="W14" s="3">
        <v>46000</v>
      </c>
      <c r="X14" s="4">
        <v>0.05</v>
      </c>
      <c r="Y14">
        <v>85</v>
      </c>
      <c r="Z14">
        <v>8</v>
      </c>
    </row>
    <row r="15" spans="1:26" hidden="1" x14ac:dyDescent="0.35">
      <c r="A15" s="12" t="s">
        <v>40</v>
      </c>
      <c r="B15" s="12" t="s">
        <v>41</v>
      </c>
      <c r="C15" s="12" t="s">
        <v>27</v>
      </c>
      <c r="D15" s="12" t="s">
        <v>20</v>
      </c>
      <c r="E15" s="13">
        <v>44791</v>
      </c>
      <c r="F15" s="28">
        <v>49000</v>
      </c>
      <c r="G15" s="15">
        <v>0.09</v>
      </c>
      <c r="H15" s="12">
        <v>79</v>
      </c>
      <c r="I15" s="12">
        <v>8</v>
      </c>
      <c r="J15" s="12" t="s">
        <v>120</v>
      </c>
      <c r="R15" t="s">
        <v>31</v>
      </c>
      <c r="S15" t="s">
        <v>32</v>
      </c>
      <c r="T15" t="s">
        <v>15</v>
      </c>
      <c r="U15" t="s">
        <v>33</v>
      </c>
      <c r="V15" s="2">
        <v>44606</v>
      </c>
      <c r="W15" s="3">
        <v>54000</v>
      </c>
      <c r="X15" s="4">
        <v>0.11</v>
      </c>
      <c r="Y15">
        <v>84</v>
      </c>
      <c r="Z15">
        <v>9</v>
      </c>
    </row>
    <row r="16" spans="1:26" hidden="1" x14ac:dyDescent="0.35">
      <c r="A16" s="12" t="s">
        <v>42</v>
      </c>
      <c r="B16" s="12" t="s">
        <v>43</v>
      </c>
      <c r="C16" s="12" t="s">
        <v>117</v>
      </c>
      <c r="D16" s="12" t="s">
        <v>12</v>
      </c>
      <c r="E16" s="13">
        <v>44533</v>
      </c>
      <c r="F16" s="28">
        <v>53000</v>
      </c>
      <c r="G16" s="15">
        <v>0.14000000000000001</v>
      </c>
      <c r="H16" s="12">
        <v>87</v>
      </c>
      <c r="I16" s="12">
        <v>9</v>
      </c>
      <c r="J16" s="12" t="s">
        <v>121</v>
      </c>
      <c r="R16" t="s">
        <v>9</v>
      </c>
      <c r="S16" t="s">
        <v>10</v>
      </c>
      <c r="T16" t="s">
        <v>11</v>
      </c>
      <c r="U16" t="s">
        <v>12</v>
      </c>
      <c r="V16" s="2">
        <v>45306</v>
      </c>
      <c r="W16" s="3">
        <v>42000</v>
      </c>
      <c r="X16" s="4">
        <v>0.08</v>
      </c>
      <c r="Y16">
        <v>82</v>
      </c>
      <c r="Z16">
        <v>7</v>
      </c>
    </row>
    <row r="17" spans="18:26" x14ac:dyDescent="0.35">
      <c r="R17" t="s">
        <v>55</v>
      </c>
      <c r="S17" t="s">
        <v>56</v>
      </c>
      <c r="T17" t="s">
        <v>23</v>
      </c>
      <c r="U17" t="s">
        <v>20</v>
      </c>
      <c r="V17" s="2">
        <v>44834</v>
      </c>
      <c r="W17" s="3">
        <v>70000</v>
      </c>
      <c r="X17" s="4">
        <v>0.18</v>
      </c>
      <c r="Y17">
        <v>81</v>
      </c>
      <c r="Z17">
        <v>9</v>
      </c>
    </row>
    <row r="18" spans="18:26" hidden="1" x14ac:dyDescent="0.35">
      <c r="R18" t="s">
        <v>69</v>
      </c>
      <c r="S18" t="s">
        <v>70</v>
      </c>
      <c r="T18" t="s">
        <v>11</v>
      </c>
      <c r="U18" t="s">
        <v>46</v>
      </c>
      <c r="V18" s="2">
        <v>45161</v>
      </c>
      <c r="W18" s="3">
        <v>45500</v>
      </c>
      <c r="X18" s="4">
        <v>0.1</v>
      </c>
      <c r="Y18">
        <v>80</v>
      </c>
      <c r="Z18">
        <v>8</v>
      </c>
    </row>
    <row r="19" spans="18:26" hidden="1" x14ac:dyDescent="0.35">
      <c r="R19" t="s">
        <v>40</v>
      </c>
      <c r="S19" t="s">
        <v>41</v>
      </c>
      <c r="T19" t="s">
        <v>27</v>
      </c>
      <c r="U19" t="s">
        <v>20</v>
      </c>
      <c r="V19" s="2">
        <v>44791</v>
      </c>
      <c r="W19" s="3">
        <v>49000</v>
      </c>
      <c r="X19" s="4">
        <v>0.09</v>
      </c>
      <c r="Y19">
        <v>79</v>
      </c>
      <c r="Z19">
        <v>8</v>
      </c>
    </row>
    <row r="20" spans="18:26" hidden="1" x14ac:dyDescent="0.35">
      <c r="R20" t="s">
        <v>61</v>
      </c>
      <c r="S20" t="s">
        <v>62</v>
      </c>
      <c r="T20" t="s">
        <v>15</v>
      </c>
      <c r="U20" t="s">
        <v>28</v>
      </c>
      <c r="V20" s="2">
        <v>44911</v>
      </c>
      <c r="W20" s="3">
        <v>52000</v>
      </c>
      <c r="X20" s="4">
        <v>0.13</v>
      </c>
      <c r="Y20">
        <v>77</v>
      </c>
      <c r="Z20">
        <v>7</v>
      </c>
    </row>
    <row r="21" spans="18:26" hidden="1" x14ac:dyDescent="0.35">
      <c r="R21" t="s">
        <v>17</v>
      </c>
      <c r="S21" t="s">
        <v>18</v>
      </c>
      <c r="T21" t="s">
        <v>19</v>
      </c>
      <c r="U21" t="s">
        <v>20</v>
      </c>
      <c r="V21" s="2">
        <v>44873</v>
      </c>
      <c r="W21" s="3">
        <v>58000</v>
      </c>
      <c r="X21" s="4">
        <v>0.1</v>
      </c>
      <c r="Y21">
        <v>76</v>
      </c>
      <c r="Z21">
        <v>8</v>
      </c>
    </row>
    <row r="22" spans="18:26" hidden="1" x14ac:dyDescent="0.35">
      <c r="R22" t="s">
        <v>57</v>
      </c>
      <c r="S22" t="s">
        <v>58</v>
      </c>
      <c r="T22" t="s">
        <v>19</v>
      </c>
      <c r="U22" t="s">
        <v>12</v>
      </c>
      <c r="V22" s="2">
        <v>43964</v>
      </c>
      <c r="W22" s="3">
        <v>61000</v>
      </c>
      <c r="X22" s="4">
        <v>7.0000000000000007E-2</v>
      </c>
      <c r="Y22">
        <v>74</v>
      </c>
      <c r="Z22">
        <v>8</v>
      </c>
    </row>
    <row r="23" spans="18:26" x14ac:dyDescent="0.35">
      <c r="R23" t="s">
        <v>34</v>
      </c>
      <c r="S23" t="s">
        <v>35</v>
      </c>
      <c r="T23" t="s">
        <v>23</v>
      </c>
      <c r="U23" t="s">
        <v>16</v>
      </c>
      <c r="V23" s="2">
        <v>45418</v>
      </c>
      <c r="W23" s="3">
        <v>62000</v>
      </c>
      <c r="X23" s="4">
        <v>0.13</v>
      </c>
      <c r="Y23">
        <v>73</v>
      </c>
      <c r="Z23">
        <v>7</v>
      </c>
    </row>
    <row r="24" spans="18:26" hidden="1" x14ac:dyDescent="0.35">
      <c r="R24" t="s">
        <v>47</v>
      </c>
      <c r="S24" t="s">
        <v>48</v>
      </c>
      <c r="T24" t="s">
        <v>19</v>
      </c>
      <c r="U24" t="s">
        <v>33</v>
      </c>
      <c r="V24" s="2">
        <v>45350</v>
      </c>
      <c r="W24" s="3">
        <v>56000</v>
      </c>
      <c r="X24" s="4">
        <v>0.1</v>
      </c>
      <c r="Y24">
        <v>72</v>
      </c>
      <c r="Z24">
        <v>7</v>
      </c>
    </row>
    <row r="25" spans="18:26" hidden="1" x14ac:dyDescent="0.35">
      <c r="R25" t="s">
        <v>25</v>
      </c>
      <c r="S25" t="s">
        <v>26</v>
      </c>
      <c r="T25" t="s">
        <v>27</v>
      </c>
      <c r="U25" t="s">
        <v>28</v>
      </c>
      <c r="V25" s="2">
        <v>45170</v>
      </c>
      <c r="W25" s="3">
        <v>47000</v>
      </c>
      <c r="X25" s="4">
        <v>7.0000000000000007E-2</v>
      </c>
      <c r="Y25">
        <v>69</v>
      </c>
      <c r="Z25">
        <v>6</v>
      </c>
    </row>
    <row r="26" spans="18:26" hidden="1" x14ac:dyDescent="0.35">
      <c r="R26" t="s">
        <v>65</v>
      </c>
      <c r="S26" t="s">
        <v>66</v>
      </c>
      <c r="T26" t="s">
        <v>27</v>
      </c>
      <c r="U26" t="s">
        <v>24</v>
      </c>
      <c r="V26" s="2">
        <v>45384</v>
      </c>
      <c r="W26" s="3">
        <v>46000</v>
      </c>
      <c r="X26" s="4">
        <v>0.06</v>
      </c>
      <c r="Y26">
        <v>68</v>
      </c>
      <c r="Z26">
        <v>6</v>
      </c>
    </row>
    <row r="27" spans="18:26" hidden="1" x14ac:dyDescent="0.35">
      <c r="R27" t="s">
        <v>51</v>
      </c>
      <c r="S27" t="s">
        <v>52</v>
      </c>
      <c r="T27" t="s">
        <v>15</v>
      </c>
      <c r="U27" t="s">
        <v>24</v>
      </c>
      <c r="V27" s="2">
        <v>45247</v>
      </c>
      <c r="W27" s="3">
        <v>50000</v>
      </c>
      <c r="X27" s="4">
        <v>0.12</v>
      </c>
      <c r="Y27">
        <v>66</v>
      </c>
      <c r="Z27">
        <v>6</v>
      </c>
    </row>
    <row r="28" spans="18:26" hidden="1" x14ac:dyDescent="0.35">
      <c r="R28" t="s">
        <v>38</v>
      </c>
      <c r="S28" t="s">
        <v>39</v>
      </c>
      <c r="T28" t="s">
        <v>11</v>
      </c>
      <c r="U28" t="s">
        <v>24</v>
      </c>
      <c r="V28" s="2">
        <v>44935</v>
      </c>
      <c r="W28" s="3">
        <v>44000</v>
      </c>
      <c r="X28" s="4">
        <v>0.06</v>
      </c>
      <c r="Y28">
        <v>61</v>
      </c>
      <c r="Z28">
        <v>5</v>
      </c>
    </row>
  </sheetData>
  <autoFilter ref="R3:Z28" xr:uid="{74537FE6-C42D-4B33-A048-A7C9AFC547F1}">
    <filterColumn colId="2">
      <filters>
        <filter val="IT"/>
      </filters>
    </filterColumn>
    <sortState xmlns:xlrd2="http://schemas.microsoft.com/office/spreadsheetml/2017/richdata2" ref="R4:Z23">
      <sortCondition descending="1" ref="Y3:Y28"/>
    </sortState>
  </autoFilter>
  <mergeCells count="1">
    <mergeCell ref="A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8779-9343-4FB2-B154-6680FD2C52B4}">
  <dimension ref="A1:U26"/>
  <sheetViews>
    <sheetView workbookViewId="0">
      <selection activeCell="I18" sqref="I18"/>
    </sheetView>
  </sheetViews>
  <sheetFormatPr defaultRowHeight="14.5" x14ac:dyDescent="0.35"/>
  <sheetData>
    <row r="1" spans="1:21" ht="29" x14ac:dyDescent="0.35">
      <c r="A1" s="1" t="s">
        <v>1</v>
      </c>
      <c r="B1" s="1" t="s">
        <v>2</v>
      </c>
      <c r="C1" s="1" t="s">
        <v>7</v>
      </c>
    </row>
    <row r="2" spans="1:21" x14ac:dyDescent="0.35">
      <c r="A2" t="s">
        <v>10</v>
      </c>
      <c r="B2" t="s">
        <v>11</v>
      </c>
      <c r="C2">
        <v>82</v>
      </c>
      <c r="F2" t="s">
        <v>91</v>
      </c>
      <c r="P2" t="s">
        <v>92</v>
      </c>
    </row>
    <row r="3" spans="1:21" x14ac:dyDescent="0.35">
      <c r="A3" t="s">
        <v>14</v>
      </c>
      <c r="B3" t="s">
        <v>15</v>
      </c>
      <c r="C3">
        <v>91</v>
      </c>
      <c r="F3" s="12"/>
      <c r="G3" s="1" t="s">
        <v>118</v>
      </c>
    </row>
    <row r="4" spans="1:21" x14ac:dyDescent="0.35">
      <c r="A4" t="s">
        <v>18</v>
      </c>
      <c r="B4" t="s">
        <v>19</v>
      </c>
      <c r="C4">
        <v>76</v>
      </c>
      <c r="F4" s="12" t="s">
        <v>11</v>
      </c>
      <c r="G4" s="12">
        <f>AVERAGEIF($B$2:$B$26,F4,$C$2:$C$26)</f>
        <v>82</v>
      </c>
      <c r="P4" s="29" t="s">
        <v>119</v>
      </c>
      <c r="Q4" s="30">
        <v>1</v>
      </c>
      <c r="R4" s="30">
        <v>2</v>
      </c>
      <c r="S4" s="30">
        <v>3</v>
      </c>
      <c r="T4" s="30">
        <v>4</v>
      </c>
      <c r="U4" s="30">
        <v>5</v>
      </c>
    </row>
    <row r="5" spans="1:21" x14ac:dyDescent="0.35">
      <c r="A5" t="s">
        <v>22</v>
      </c>
      <c r="B5" t="s">
        <v>23</v>
      </c>
      <c r="C5">
        <v>88</v>
      </c>
      <c r="F5" s="12" t="s">
        <v>15</v>
      </c>
      <c r="G5" s="12">
        <f t="shared" ref="G5:G8" si="0">AVERAGEIF($B$2:$B$26,F5,$C$2:$C$26)</f>
        <v>81</v>
      </c>
      <c r="P5" s="31">
        <v>1</v>
      </c>
      <c r="Q5" s="30">
        <f>$P5*Q$4</f>
        <v>1</v>
      </c>
      <c r="R5" s="30">
        <f t="shared" ref="R5:U5" si="1">$P5*R$4</f>
        <v>2</v>
      </c>
      <c r="S5" s="30">
        <f t="shared" si="1"/>
        <v>3</v>
      </c>
      <c r="T5" s="30">
        <f t="shared" si="1"/>
        <v>4</v>
      </c>
      <c r="U5" s="30">
        <f t="shared" si="1"/>
        <v>5</v>
      </c>
    </row>
    <row r="6" spans="1:21" x14ac:dyDescent="0.35">
      <c r="A6" t="s">
        <v>26</v>
      </c>
      <c r="B6" t="s">
        <v>27</v>
      </c>
      <c r="C6">
        <v>69</v>
      </c>
      <c r="F6" s="12" t="s">
        <v>19</v>
      </c>
      <c r="G6" s="12">
        <f t="shared" si="0"/>
        <v>79.599999999999994</v>
      </c>
      <c r="P6" s="31">
        <v>2</v>
      </c>
      <c r="Q6" s="30">
        <f t="shared" ref="Q6:U9" si="2">$P6*Q$4</f>
        <v>2</v>
      </c>
      <c r="R6" s="30">
        <f t="shared" si="2"/>
        <v>4</v>
      </c>
      <c r="S6" s="30">
        <f t="shared" si="2"/>
        <v>6</v>
      </c>
      <c r="T6" s="30">
        <f t="shared" si="2"/>
        <v>8</v>
      </c>
      <c r="U6" s="30">
        <f t="shared" si="2"/>
        <v>10</v>
      </c>
    </row>
    <row r="7" spans="1:21" x14ac:dyDescent="0.35">
      <c r="A7" t="s">
        <v>30</v>
      </c>
      <c r="B7" t="s">
        <v>11</v>
      </c>
      <c r="C7">
        <v>95</v>
      </c>
      <c r="F7" s="12" t="s">
        <v>23</v>
      </c>
      <c r="G7" s="12">
        <f t="shared" si="0"/>
        <v>86.2</v>
      </c>
      <c r="P7" s="31">
        <v>3</v>
      </c>
      <c r="Q7" s="30">
        <f t="shared" si="2"/>
        <v>3</v>
      </c>
      <c r="R7" s="30">
        <f t="shared" si="2"/>
        <v>6</v>
      </c>
      <c r="S7" s="30">
        <f t="shared" si="2"/>
        <v>9</v>
      </c>
      <c r="T7" s="30">
        <f t="shared" si="2"/>
        <v>12</v>
      </c>
      <c r="U7" s="30">
        <f t="shared" si="2"/>
        <v>15</v>
      </c>
    </row>
    <row r="8" spans="1:21" x14ac:dyDescent="0.35">
      <c r="A8" t="s">
        <v>32</v>
      </c>
      <c r="B8" t="s">
        <v>15</v>
      </c>
      <c r="C8">
        <v>84</v>
      </c>
      <c r="F8" s="12" t="s">
        <v>27</v>
      </c>
      <c r="G8" s="12">
        <f t="shared" si="0"/>
        <v>77</v>
      </c>
      <c r="P8" s="31">
        <v>4</v>
      </c>
      <c r="Q8" s="30">
        <f t="shared" si="2"/>
        <v>4</v>
      </c>
      <c r="R8" s="30">
        <f t="shared" si="2"/>
        <v>8</v>
      </c>
      <c r="S8" s="30">
        <f t="shared" si="2"/>
        <v>12</v>
      </c>
      <c r="T8" s="30">
        <f t="shared" si="2"/>
        <v>16</v>
      </c>
      <c r="U8" s="30">
        <f t="shared" si="2"/>
        <v>20</v>
      </c>
    </row>
    <row r="9" spans="1:21" x14ac:dyDescent="0.35">
      <c r="A9" t="s">
        <v>35</v>
      </c>
      <c r="B9" t="s">
        <v>23</v>
      </c>
      <c r="C9">
        <v>73</v>
      </c>
      <c r="P9" s="31">
        <v>5</v>
      </c>
      <c r="Q9" s="30">
        <f t="shared" si="2"/>
        <v>5</v>
      </c>
      <c r="R9" s="30">
        <f t="shared" si="2"/>
        <v>10</v>
      </c>
      <c r="S9" s="30">
        <f t="shared" si="2"/>
        <v>15</v>
      </c>
      <c r="T9" s="30">
        <f t="shared" si="2"/>
        <v>20</v>
      </c>
      <c r="U9" s="30">
        <f t="shared" si="2"/>
        <v>25</v>
      </c>
    </row>
    <row r="10" spans="1:21" x14ac:dyDescent="0.35">
      <c r="A10" t="s">
        <v>37</v>
      </c>
      <c r="B10" t="s">
        <v>19</v>
      </c>
      <c r="C10">
        <v>90</v>
      </c>
    </row>
    <row r="11" spans="1:21" x14ac:dyDescent="0.35">
      <c r="A11" t="s">
        <v>39</v>
      </c>
      <c r="B11" t="s">
        <v>11</v>
      </c>
      <c r="C11">
        <v>61</v>
      </c>
    </row>
    <row r="12" spans="1:21" x14ac:dyDescent="0.35">
      <c r="A12" t="s">
        <v>41</v>
      </c>
      <c r="B12" t="s">
        <v>27</v>
      </c>
      <c r="C12">
        <v>79</v>
      </c>
    </row>
    <row r="13" spans="1:21" x14ac:dyDescent="0.35">
      <c r="A13" t="s">
        <v>43</v>
      </c>
      <c r="B13" t="s">
        <v>15</v>
      </c>
      <c r="C13">
        <v>87</v>
      </c>
    </row>
    <row r="14" spans="1:21" x14ac:dyDescent="0.35">
      <c r="A14" t="s">
        <v>45</v>
      </c>
      <c r="B14" t="s">
        <v>23</v>
      </c>
      <c r="C14">
        <v>93</v>
      </c>
    </row>
    <row r="15" spans="1:21" x14ac:dyDescent="0.35">
      <c r="A15" t="s">
        <v>48</v>
      </c>
      <c r="B15" t="s">
        <v>19</v>
      </c>
      <c r="C15">
        <v>72</v>
      </c>
    </row>
    <row r="16" spans="1:21" x14ac:dyDescent="0.35">
      <c r="A16" t="s">
        <v>50</v>
      </c>
      <c r="B16" t="s">
        <v>11</v>
      </c>
      <c r="C16">
        <v>85</v>
      </c>
    </row>
    <row r="17" spans="1:3" x14ac:dyDescent="0.35">
      <c r="A17" t="s">
        <v>52</v>
      </c>
      <c r="B17" t="s">
        <v>15</v>
      </c>
      <c r="C17">
        <v>66</v>
      </c>
    </row>
    <row r="18" spans="1:3" x14ac:dyDescent="0.35">
      <c r="A18" t="s">
        <v>54</v>
      </c>
      <c r="B18" t="s">
        <v>27</v>
      </c>
      <c r="C18">
        <v>92</v>
      </c>
    </row>
    <row r="19" spans="1:3" x14ac:dyDescent="0.35">
      <c r="A19" t="s">
        <v>56</v>
      </c>
      <c r="B19" t="s">
        <v>23</v>
      </c>
      <c r="C19">
        <v>81</v>
      </c>
    </row>
    <row r="20" spans="1:3" x14ac:dyDescent="0.35">
      <c r="A20" t="s">
        <v>58</v>
      </c>
      <c r="B20" t="s">
        <v>19</v>
      </c>
      <c r="C20">
        <v>74</v>
      </c>
    </row>
    <row r="21" spans="1:3" x14ac:dyDescent="0.35">
      <c r="A21" t="s">
        <v>60</v>
      </c>
      <c r="B21" t="s">
        <v>11</v>
      </c>
      <c r="C21">
        <v>89</v>
      </c>
    </row>
    <row r="22" spans="1:3" x14ac:dyDescent="0.35">
      <c r="A22" t="s">
        <v>62</v>
      </c>
      <c r="B22" t="s">
        <v>15</v>
      </c>
      <c r="C22">
        <v>77</v>
      </c>
    </row>
    <row r="23" spans="1:3" x14ac:dyDescent="0.35">
      <c r="A23" t="s">
        <v>64</v>
      </c>
      <c r="B23" t="s">
        <v>23</v>
      </c>
      <c r="C23">
        <v>96</v>
      </c>
    </row>
    <row r="24" spans="1:3" x14ac:dyDescent="0.35">
      <c r="A24" t="s">
        <v>66</v>
      </c>
      <c r="B24" t="s">
        <v>27</v>
      </c>
      <c r="C24">
        <v>68</v>
      </c>
    </row>
    <row r="25" spans="1:3" x14ac:dyDescent="0.35">
      <c r="A25" t="s">
        <v>68</v>
      </c>
      <c r="B25" t="s">
        <v>19</v>
      </c>
      <c r="C25">
        <v>86</v>
      </c>
    </row>
    <row r="26" spans="1:3" x14ac:dyDescent="0.35">
      <c r="A26" t="s">
        <v>70</v>
      </c>
      <c r="B26" t="s">
        <v>11</v>
      </c>
      <c r="C2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p1_raw data</vt:lpstr>
      <vt:lpstr>P1_Tasks</vt:lpstr>
      <vt:lpstr>copy of raw data</vt:lpstr>
      <vt:lpstr>p1_answers</vt:lpstr>
      <vt:lpstr>p1_answers2</vt:lpstr>
      <vt:lpstr>p1_answers3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aimanunnisa283@gmail.com</dc:creator>
  <cp:lastModifiedBy>aimanunnisa283@gmail.com</cp:lastModifiedBy>
  <dcterms:created xsi:type="dcterms:W3CDTF">2026-10-16T09:04:11Z</dcterms:created>
  <dcterms:modified xsi:type="dcterms:W3CDTF">2026-10-17T08:52:25Z</dcterms:modified>
</cp:coreProperties>
</file>