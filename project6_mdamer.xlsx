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afe901dc81da1df/Documents/assignments_mdamer/"/>
    </mc:Choice>
  </mc:AlternateContent>
  <xr:revisionPtr revIDLastSave="1" documentId="8_{91A4DDAE-13BB-43E3-86CA-02BA353E672D}" xr6:coauthVersionLast="47" xr6:coauthVersionMax="47" xr10:uidLastSave="{2EB0FC53-45B6-472E-BEEC-3393A7ED3484}"/>
  <bookViews>
    <workbookView xWindow="-110" yWindow="-110" windowWidth="19420" windowHeight="10300" firstSheet="5" activeTab="8" xr2:uid="{EC5D3190-750C-4989-81C9-E7EB3211CFAA}"/>
  </bookViews>
  <sheets>
    <sheet name="P2_Customers" sheetId="1" r:id="rId1"/>
    <sheet name="P2_Sales" sheetId="2" r:id="rId2"/>
    <sheet name="customers_copy" sheetId="4" r:id="rId3"/>
    <sheet name="sales_copy" sheetId="5" r:id="rId4"/>
    <sheet name="P2_Tasks" sheetId="3" r:id="rId5"/>
    <sheet name="sales_answers" sheetId="7" r:id="rId6"/>
    <sheet name="salestasks3" sheetId="11" r:id="rId7"/>
    <sheet name="pivot and charts1" sheetId="12" r:id="rId8"/>
    <sheet name="charts2" sheetId="13" r:id="rId9"/>
    <sheet name="sales_tasks2" sheetId="9" r:id="rId10"/>
    <sheet name="customer_answers" sheetId="6" r:id="rId11"/>
  </sheets>
  <definedNames>
    <definedName name="_xlnm._FilterDatabase" localSheetId="6" hidden="1">salestasks3!$A$2:$M$42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9" l="1"/>
  <c r="H19" i="9"/>
  <c r="H20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4" i="9"/>
  <c r="M15" i="11"/>
  <c r="L15" i="11"/>
  <c r="K15" i="11"/>
  <c r="J15" i="11"/>
  <c r="M13" i="11"/>
  <c r="L13" i="11"/>
  <c r="K13" i="11"/>
  <c r="J13" i="11"/>
  <c r="M34" i="11"/>
  <c r="L34" i="11"/>
  <c r="K34" i="11"/>
  <c r="J34" i="11"/>
  <c r="M37" i="11"/>
  <c r="L37" i="11"/>
  <c r="K37" i="11"/>
  <c r="J37" i="11"/>
  <c r="M10" i="11"/>
  <c r="L10" i="11"/>
  <c r="K10" i="11"/>
  <c r="J10" i="11"/>
  <c r="M36" i="11"/>
  <c r="L36" i="11"/>
  <c r="K36" i="11"/>
  <c r="J36" i="11"/>
  <c r="M25" i="11"/>
  <c r="L25" i="11"/>
  <c r="K25" i="11"/>
  <c r="J25" i="11"/>
  <c r="M7" i="11"/>
  <c r="L7" i="11"/>
  <c r="K7" i="11"/>
  <c r="J7" i="11"/>
  <c r="M8" i="11"/>
  <c r="L8" i="11"/>
  <c r="K8" i="11"/>
  <c r="J8" i="11"/>
  <c r="M29" i="11"/>
  <c r="L29" i="11"/>
  <c r="K29" i="11"/>
  <c r="J29" i="11"/>
  <c r="M16" i="11"/>
  <c r="L16" i="11"/>
  <c r="K16" i="11"/>
  <c r="J16" i="11"/>
  <c r="M6" i="11"/>
  <c r="L6" i="11"/>
  <c r="K6" i="11"/>
  <c r="J6" i="11"/>
  <c r="M27" i="11"/>
  <c r="L27" i="11"/>
  <c r="K27" i="11"/>
  <c r="J27" i="11"/>
  <c r="M35" i="11"/>
  <c r="L35" i="11"/>
  <c r="K35" i="11"/>
  <c r="J35" i="11"/>
  <c r="M28" i="11"/>
  <c r="L28" i="11"/>
  <c r="K28" i="11"/>
  <c r="J28" i="11"/>
  <c r="M21" i="11"/>
  <c r="L21" i="11"/>
  <c r="K21" i="11"/>
  <c r="J21" i="11"/>
  <c r="M40" i="11"/>
  <c r="L40" i="11"/>
  <c r="K40" i="11"/>
  <c r="J40" i="11"/>
  <c r="M18" i="11"/>
  <c r="L18" i="11"/>
  <c r="K18" i="11"/>
  <c r="J18" i="11"/>
  <c r="M24" i="11"/>
  <c r="L24" i="11"/>
  <c r="K24" i="11"/>
  <c r="J24" i="11"/>
  <c r="M5" i="11"/>
  <c r="L5" i="11"/>
  <c r="K5" i="11"/>
  <c r="J5" i="11"/>
  <c r="M39" i="11"/>
  <c r="L39" i="11"/>
  <c r="K39" i="11"/>
  <c r="J39" i="11"/>
  <c r="M26" i="11"/>
  <c r="L26" i="11"/>
  <c r="K26" i="11"/>
  <c r="J26" i="11"/>
  <c r="M9" i="11"/>
  <c r="L9" i="11"/>
  <c r="K9" i="11"/>
  <c r="J9" i="11"/>
  <c r="M30" i="11"/>
  <c r="L30" i="11"/>
  <c r="K30" i="11"/>
  <c r="J30" i="11"/>
  <c r="M33" i="11"/>
  <c r="L33" i="11"/>
  <c r="K33" i="11"/>
  <c r="J33" i="11"/>
  <c r="M22" i="11"/>
  <c r="L22" i="11"/>
  <c r="K22" i="11"/>
  <c r="J22" i="11"/>
  <c r="M4" i="11"/>
  <c r="L4" i="11"/>
  <c r="K4" i="11"/>
  <c r="J4" i="11"/>
  <c r="M41" i="11"/>
  <c r="L41" i="11"/>
  <c r="K41" i="11"/>
  <c r="J41" i="11"/>
  <c r="M23" i="11"/>
  <c r="L23" i="11"/>
  <c r="K23" i="11"/>
  <c r="J23" i="11"/>
  <c r="M11" i="11"/>
  <c r="L11" i="11"/>
  <c r="K11" i="11"/>
  <c r="J11" i="11"/>
  <c r="M32" i="11"/>
  <c r="L32" i="11"/>
  <c r="K32" i="11"/>
  <c r="J32" i="11"/>
  <c r="M14" i="11"/>
  <c r="L14" i="11"/>
  <c r="K14" i="11"/>
  <c r="J14" i="11"/>
  <c r="M19" i="11"/>
  <c r="L19" i="11"/>
  <c r="K19" i="11"/>
  <c r="J19" i="11"/>
  <c r="M20" i="11"/>
  <c r="L20" i="11"/>
  <c r="K20" i="11"/>
  <c r="J20" i="11"/>
  <c r="M38" i="11"/>
  <c r="L38" i="11"/>
  <c r="K38" i="11"/>
  <c r="J38" i="11"/>
  <c r="M12" i="11"/>
  <c r="L12" i="11"/>
  <c r="K12" i="11"/>
  <c r="J12" i="11"/>
  <c r="M3" i="11"/>
  <c r="L3" i="11"/>
  <c r="K3" i="11"/>
  <c r="J3" i="11"/>
  <c r="M17" i="11"/>
  <c r="L17" i="11"/>
  <c r="K17" i="11"/>
  <c r="J17" i="11"/>
  <c r="M31" i="11"/>
  <c r="L31" i="11"/>
  <c r="K31" i="11"/>
  <c r="J31" i="11"/>
  <c r="M42" i="11"/>
  <c r="L42" i="11"/>
  <c r="K42" i="11"/>
  <c r="J42" i="11"/>
  <c r="L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U5" i="7"/>
  <c r="U4" i="7"/>
  <c r="U3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2" i="7"/>
</calcChain>
</file>

<file path=xl/sharedStrings.xml><?xml version="1.0" encoding="utf-8"?>
<sst xmlns="http://schemas.openxmlformats.org/spreadsheetml/2006/main" count="1321" uniqueCount="192">
  <si>
    <t>Customer ID</t>
  </si>
  <si>
    <t>Customer Name</t>
  </si>
  <si>
    <t>Region</t>
  </si>
  <si>
    <t>Segment</t>
  </si>
  <si>
    <t>City</t>
  </si>
  <si>
    <t>C001</t>
  </si>
  <si>
    <t>Aarav Retail</t>
  </si>
  <si>
    <t>North</t>
  </si>
  <si>
    <t>Retail</t>
  </si>
  <si>
    <t>Hyderabad</t>
  </si>
  <si>
    <t>C002</t>
  </si>
  <si>
    <t>BlueMart</t>
  </si>
  <si>
    <t>South</t>
  </si>
  <si>
    <t>Chennai</t>
  </si>
  <si>
    <t>C003</t>
  </si>
  <si>
    <t>Crest Foods</t>
  </si>
  <si>
    <t>West</t>
  </si>
  <si>
    <t>Wholesale</t>
  </si>
  <si>
    <t>Mumbai</t>
  </si>
  <si>
    <t>C004</t>
  </si>
  <si>
    <t>Delta Stores</t>
  </si>
  <si>
    <t>Delhi</t>
  </si>
  <si>
    <t>C005</t>
  </si>
  <si>
    <t>Elite Supplies</t>
  </si>
  <si>
    <t>Bengaluru</t>
  </si>
  <si>
    <t>C006</t>
  </si>
  <si>
    <t>Fresh Basket</t>
  </si>
  <si>
    <t>East</t>
  </si>
  <si>
    <t>Kolkata</t>
  </si>
  <si>
    <t>C007</t>
  </si>
  <si>
    <t>Green Valley</t>
  </si>
  <si>
    <t>Pune</t>
  </si>
  <si>
    <t>C008</t>
  </si>
  <si>
    <t>Horizon Cafe</t>
  </si>
  <si>
    <t>Food Service</t>
  </si>
  <si>
    <t>C009</t>
  </si>
  <si>
    <t>Ivy Traders</t>
  </si>
  <si>
    <t>C010</t>
  </si>
  <si>
    <t>Jupiter Mart</t>
  </si>
  <si>
    <t>C011</t>
  </si>
  <si>
    <t>Kaveri Foods</t>
  </si>
  <si>
    <t>C012</t>
  </si>
  <si>
    <t>Lotus Retail</t>
  </si>
  <si>
    <t>C013</t>
  </si>
  <si>
    <t>Metro Bazaar</t>
  </si>
  <si>
    <t>C014</t>
  </si>
  <si>
    <t>Nova Wholesale</t>
  </si>
  <si>
    <t>C015</t>
  </si>
  <si>
    <t>Orchid Cafe</t>
  </si>
  <si>
    <t>C016</t>
  </si>
  <si>
    <t>Prime Grocers</t>
  </si>
  <si>
    <t>C017</t>
  </si>
  <si>
    <t>QuickBuy</t>
  </si>
  <si>
    <t>C018</t>
  </si>
  <si>
    <t>Royal Foods</t>
  </si>
  <si>
    <t>C019</t>
  </si>
  <si>
    <t>Sunrise Mart</t>
  </si>
  <si>
    <t>C020</t>
  </si>
  <si>
    <t>TrueValue</t>
  </si>
  <si>
    <t>Order ID</t>
  </si>
  <si>
    <t>Order Date</t>
  </si>
  <si>
    <t>Product</t>
  </si>
  <si>
    <t>Category</t>
  </si>
  <si>
    <t>Units</t>
  </si>
  <si>
    <t>Unit Price</t>
  </si>
  <si>
    <t>Discount</t>
  </si>
  <si>
    <t>O1001</t>
  </si>
  <si>
    <t>Laptop Stand</t>
  </si>
  <si>
    <t>Electronics</t>
  </si>
  <si>
    <t>O1002</t>
  </si>
  <si>
    <t>Keyboard</t>
  </si>
  <si>
    <t>O1003</t>
  </si>
  <si>
    <t>Office Chair</t>
  </si>
  <si>
    <t>Furniture</t>
  </si>
  <si>
    <t>O1004</t>
  </si>
  <si>
    <t>Monitor</t>
  </si>
  <si>
    <t>O1005</t>
  </si>
  <si>
    <t>Desk</t>
  </si>
  <si>
    <t>O1006</t>
  </si>
  <si>
    <t>Mouse</t>
  </si>
  <si>
    <t>O1007</t>
  </si>
  <si>
    <t>Webcam</t>
  </si>
  <si>
    <t>O1008</t>
  </si>
  <si>
    <t>Headset</t>
  </si>
  <si>
    <t>O1009</t>
  </si>
  <si>
    <t>Printer</t>
  </si>
  <si>
    <t>O1010</t>
  </si>
  <si>
    <t>Desk Lamp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</si>
  <si>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</si>
  <si>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</si>
  <si>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</si>
  <si>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</si>
  <si>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</si>
  <si>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</si>
  <si>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</si>
  <si>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</si>
  <si>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</si>
  <si>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</si>
  <si>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</si>
  <si>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</si>
  <si>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</si>
  <si>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</si>
  <si>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</si>
  <si>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</si>
  <si>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</si>
  <si>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</si>
  <si>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</si>
  <si>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</si>
  <si>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</si>
  <si>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</si>
  <si>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</si>
  <si>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</si>
  <si>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</si>
  <si>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</si>
  <si>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</si>
  <si>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</si>
  <si>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</si>
  <si>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</si>
  <si>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Task #</t>
  </si>
  <si>
    <t>Task</t>
  </si>
  <si>
    <t>On the customer table, use Remove Duplicates to remove the intentional duplicate C020. Make a copy first.</t>
  </si>
  <si>
    <t>Create Sales Amount = Units × Unit Price × (1 - Discount). Use Autofill.</t>
  </si>
  <si>
    <t>Create Discount Amount = Units × Unit Price × Discount.</t>
  </si>
  <si>
    <t>Use COUNT, COUNTA and COUNTBLANK on suitable ranges.</t>
  </si>
  <si>
    <t>Use VLOOKUP with exact match to bring Customer Name into Sales using Customer ID.</t>
  </si>
  <si>
    <t>Use VLOOKUP with exact match to bring Customer Segment into Sales.</t>
  </si>
  <si>
    <t>Create a horizontal Sales Band table: 0=Low, 10000=Medium, 25000=High, 50000=Very High. Use HLOOKUP with approximate match on selected Sales Amounts.</t>
  </si>
  <si>
    <t>Explain exact-match versus approximate-match lookup in your own words.</t>
  </si>
  <si>
    <t>Write an XLOOKUP formula as a concept for returning Customer Name from Customer ID. Do not worry if Excel 2019 cannot execute it.</t>
  </si>
  <si>
    <t>Use Data Validation to create an Order Status dropdown: Pending, Shipped, Delivered, Cancelled. Apply it to at least 10 practice cells.</t>
  </si>
  <si>
    <t>Sort Sales Amount largest to smallest and filter to Electronics.</t>
  </si>
  <si>
    <t>Use Conditional Formatting to highlight Sales Amount above ₹50,000 and Discount &gt;= 10%.</t>
  </si>
  <si>
    <t>PivotTable: Region in Rows; Sales Amount in Values as SUM. Identify highest-sales region.</t>
  </si>
  <si>
    <t>PivotTable: Product in Rows; Sales Amount in Values as SUM; Region in Filters. Test North.</t>
  </si>
  <si>
    <t>PivotTable: Category in Rows; Sales Amount in Values as AVERAGE. Compare categories.</t>
  </si>
  <si>
    <t>PivotTable: Region in Rows; Order ID in Values as COUNT. Identify region with most orders.</t>
  </si>
  <si>
    <t>PivotTable hierarchy: Region in Rows, Category under Region, Sales Amount in Values.</t>
  </si>
  <si>
    <t>Create a PivotChart from Region Sales. Add a meaningful title and data labels.</t>
  </si>
  <si>
    <t>Create a column chart for Sales Amount by Product using a summarized table.</t>
  </si>
  <si>
    <t>Create a line chart for monthly Sales Amount.</t>
  </si>
  <si>
    <t>Create a pie chart for Sales Amount by Region using the four region totals.</t>
  </si>
  <si>
    <t>Create a scatter chart with Units on X and Sales Amount on Y. Add axis titles.</t>
  </si>
  <si>
    <t>sales_amount</t>
  </si>
  <si>
    <t>discount_amount</t>
  </si>
  <si>
    <t>count</t>
  </si>
  <si>
    <t>counta</t>
  </si>
  <si>
    <t>COUNTBLANK</t>
  </si>
  <si>
    <t>TEST RANGE FOR COUNT BLANK</t>
  </si>
  <si>
    <t>customer  name</t>
  </si>
  <si>
    <t>segment</t>
  </si>
  <si>
    <t>LOW</t>
  </si>
  <si>
    <t>MEDIUM</t>
  </si>
  <si>
    <t>HIGH</t>
  </si>
  <si>
    <t>VERY HIGH</t>
  </si>
  <si>
    <t>exact - match vs approximate-match</t>
  </si>
  <si>
    <t>EXACT-MATCH</t>
  </si>
  <si>
    <t>=xlookup(lookup_value, lookup_array,return_array,[ if not found],[match mode],[search mode])</t>
  </si>
  <si>
    <t xml:space="preserve">XLOOKUP </t>
  </si>
  <si>
    <t>syntax</t>
  </si>
  <si>
    <t>Order Status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</si>
  <si>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</si>
  <si>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</si>
  <si>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</si>
  <si>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</si>
  <si>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</si>
  <si>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</si>
  <si>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</si>
  <si>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</si>
  <si>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</si>
  <si>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</si>
  <si>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 xml:space="preserve">pending </t>
  </si>
  <si>
    <t>filtered based on electronics and sales amount largest to smallest</t>
  </si>
  <si>
    <t>Row Labels</t>
  </si>
  <si>
    <t>Grand Total</t>
  </si>
  <si>
    <t>Sum of sales_amount</t>
  </si>
  <si>
    <t>pivot table showing highest sum of sales by region</t>
  </si>
  <si>
    <t>Average of sales_amount</t>
  </si>
  <si>
    <t>Count of Order ID</t>
  </si>
  <si>
    <t>south region has the most no. of orders</t>
  </si>
  <si>
    <t>Jan</t>
  </si>
  <si>
    <t>Feb</t>
  </si>
  <si>
    <t>Mar</t>
  </si>
  <si>
    <t>Apr</t>
  </si>
  <si>
    <t>Average of Discount</t>
  </si>
  <si>
    <t>Create a combo chart with monthly Sales Amount as columns and  Average Discount as a line on the secondary Y-axis.</t>
  </si>
  <si>
    <t>Range</t>
  </si>
  <si>
    <r>
      <t xml:space="preserve">Exact Match —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0</t>
    </r>
  </si>
  <si>
    <t>Finds only the exact value you requested.</t>
  </si>
  <si>
    <r>
      <t xml:space="preserve">Example: Search for employee ID </t>
    </r>
    <r>
      <rPr>
        <sz val="10"/>
        <color theme="1"/>
        <rFont val="Arial Unicode MS"/>
      </rPr>
      <t>104</t>
    </r>
    <r>
      <rPr>
        <sz val="11"/>
        <color theme="1"/>
        <rFont val="Calibri"/>
        <family val="2"/>
        <scheme val="minor"/>
      </rPr>
      <t xml:space="preserve">. Excel looks for ID </t>
    </r>
    <r>
      <rPr>
        <sz val="10"/>
        <color theme="1"/>
        <rFont val="Arial Unicode MS"/>
      </rPr>
      <t>104</t>
    </r>
    <r>
      <rPr>
        <sz val="11"/>
        <color theme="1"/>
        <rFont val="Calibri"/>
        <family val="2"/>
        <scheme val="minor"/>
      </rPr>
      <t xml:space="preserve">, not </t>
    </r>
    <r>
      <rPr>
        <sz val="10"/>
        <color theme="1"/>
        <rFont val="Arial Unicode MS"/>
      </rPr>
      <t>103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105</t>
    </r>
    <r>
      <rPr>
        <sz val="11"/>
        <color theme="1"/>
        <rFont val="Calibri"/>
        <family val="2"/>
        <scheme val="minor"/>
      </rPr>
      <t>.</t>
    </r>
  </si>
  <si>
    <r>
      <t xml:space="preserve">Approximate Match —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1</t>
    </r>
  </si>
  <si>
    <t>Finds the closest suitable value.</t>
  </si>
  <si>
    <t>For VLOOKUP,HLOOKUP this normally means the largest value less than or equal to your lookup value, provided the first column is sorted in ascending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</si>
</sst>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1" xfId="0" applyBorder="1"/>
    <xf numFmtId="0" fontId="0" fillId="0" borderId="0" xfId="0" quotePrefix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4" borderId="1" xfId="0" applyFill="1" applyBorder="1"/>
    <xf numFmtId="0" fontId="0" fillId="0" borderId="0" xfId="0" applyNumberFormat="1"/>
  </cellXfs>
  <cellStyles count="1">
    <cellStyle name="Normal" xfId="0" builtinId="0"/>
  </cellStyles>
  <dxfs count="5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numFmt numFmtId="14" formatCode="0.0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[project6_mdamer.xlsx]pivot and charts1!PivotTable55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layout>
        <c:manualLayout>
          <c:xMode val="edge"/>
          <c:yMode val="edge"/>
          <c:x val="0.31589566929133861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and charts1'!$B$26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BA0-482C-BF1D-0E4BE8B1D41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BA0-482C-BF1D-0E4BE8B1D41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BA0-482C-BF1D-0E4BE8B1D41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BA0-482C-BF1D-0E4BE8B1D418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and charts1'!$A$27:$A$31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and charts1'!$B$27:$B$31</c:f>
              <c:numCache>
                <c:formatCode>General</c:formatCode>
                <c:ptCount val="4"/>
                <c:pt idx="0">
                  <c:v>267334</c:v>
                </c:pt>
                <c:pt idx="1">
                  <c:v>418311</c:v>
                </c:pt>
                <c:pt idx="2">
                  <c:v>477520</c:v>
                </c:pt>
                <c:pt idx="3">
                  <c:v>383172.5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D-4768-9713-42E1A16F5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[project6_mdamer.xlsx]pivot and charts1!PivotTable56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and charts1'!$P$2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and charts1'!$O$3:$O$13</c:f>
              <c:strCache>
                <c:ptCount val="10"/>
                <c:pt idx="0">
                  <c:v>Desk</c:v>
                </c:pt>
                <c:pt idx="1">
                  <c:v>Desk Lamp</c:v>
                </c:pt>
                <c:pt idx="2">
                  <c:v>Headset</c:v>
                </c:pt>
                <c:pt idx="3">
                  <c:v>Keyboard</c:v>
                </c:pt>
                <c:pt idx="4">
                  <c:v>Laptop Stand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Printer</c:v>
                </c:pt>
                <c:pt idx="9">
                  <c:v>Webcam</c:v>
                </c:pt>
              </c:strCache>
            </c:strRef>
          </c:cat>
          <c:val>
            <c:numRef>
              <c:f>'pivot and charts1'!$P$3:$P$13</c:f>
              <c:numCache>
                <c:formatCode>General</c:formatCode>
                <c:ptCount val="10"/>
                <c:pt idx="0">
                  <c:v>136800</c:v>
                </c:pt>
                <c:pt idx="1">
                  <c:v>88027.5</c:v>
                </c:pt>
                <c:pt idx="2">
                  <c:v>109725</c:v>
                </c:pt>
                <c:pt idx="3">
                  <c:v>128592</c:v>
                </c:pt>
                <c:pt idx="4">
                  <c:v>55975</c:v>
                </c:pt>
                <c:pt idx="5">
                  <c:v>434420</c:v>
                </c:pt>
                <c:pt idx="6">
                  <c:v>80490</c:v>
                </c:pt>
                <c:pt idx="7">
                  <c:v>172800</c:v>
                </c:pt>
                <c:pt idx="8">
                  <c:v>204820</c:v>
                </c:pt>
                <c:pt idx="9">
                  <c:v>134688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A-4045-A75D-03AFA73061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8413520"/>
        <c:axId val="338413160"/>
      </c:barChart>
      <c:catAx>
        <c:axId val="33841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413160"/>
        <c:crosses val="autoZero"/>
        <c:auto val="1"/>
        <c:lblAlgn val="ctr"/>
        <c:lblOffset val="100"/>
        <c:noMultiLvlLbl val="0"/>
      </c:catAx>
      <c:valAx>
        <c:axId val="33841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41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[project6_mdamer.xlsx]pivot and charts1!PivotTable57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amount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and charts1'!$C$43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and charts1'!$B$44:$B$48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and charts1'!$C$44:$C$48</c:f>
              <c:numCache>
                <c:formatCode>General</c:formatCode>
                <c:ptCount val="4"/>
                <c:pt idx="0">
                  <c:v>390863</c:v>
                </c:pt>
                <c:pt idx="1">
                  <c:v>376162.5</c:v>
                </c:pt>
                <c:pt idx="2">
                  <c:v>410555.5</c:v>
                </c:pt>
                <c:pt idx="3">
                  <c:v>368756.5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E-40D3-A8F4-B3B484D75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98290360"/>
        <c:axId val="1298292880"/>
      </c:lineChart>
      <c:catAx>
        <c:axId val="129829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92880"/>
        <c:crosses val="autoZero"/>
        <c:auto val="1"/>
        <c:lblAlgn val="ctr"/>
        <c:lblOffset val="100"/>
        <c:noMultiLvlLbl val="0"/>
      </c:catAx>
      <c:valAx>
        <c:axId val="1298292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9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[project6_mdamer.xlsx]charts2!PivotTable58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charts2!$B$4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5F8-449E-8E05-0D672ECED3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5F8-449E-8E05-0D672ECED3F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5F8-449E-8E05-0D672ECED3F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55F8-449E-8E05-0D672ECED3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charts2!$A$5:$A$9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charts2!$B$5:$B$9</c:f>
              <c:numCache>
                <c:formatCode>General</c:formatCode>
                <c:ptCount val="4"/>
                <c:pt idx="0">
                  <c:v>267334</c:v>
                </c:pt>
                <c:pt idx="1">
                  <c:v>418311</c:v>
                </c:pt>
                <c:pt idx="2">
                  <c:v>477520</c:v>
                </c:pt>
                <c:pt idx="3">
                  <c:v>383172.5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C-4F80-98AD-9936DE2E08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amount by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sales_answers!$J$1</c:f>
              <c:strCache>
                <c:ptCount val="1"/>
                <c:pt idx="0">
                  <c:v>sales_amount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sales_answers!$G$2:$G$41</c:f>
              <c:numCache>
                <c:formatCode>General</c:formatCode>
                <c:ptCount val="40"/>
                <c:pt idx="0">
                  <c:v>8</c:v>
                </c:pt>
                <c:pt idx="1">
                  <c:v>15</c:v>
                </c:pt>
                <c:pt idx="2">
                  <c:v>6</c:v>
                </c:pt>
                <c:pt idx="3">
                  <c:v>9</c:v>
                </c:pt>
                <c:pt idx="4">
                  <c:v>4</c:v>
                </c:pt>
                <c:pt idx="5">
                  <c:v>25</c:v>
                </c:pt>
                <c:pt idx="6">
                  <c:v>12</c:v>
                </c:pt>
                <c:pt idx="7">
                  <c:v>18</c:v>
                </c:pt>
                <c:pt idx="8">
                  <c:v>5</c:v>
                </c:pt>
                <c:pt idx="9">
                  <c:v>14</c:v>
                </c:pt>
                <c:pt idx="10">
                  <c:v>7</c:v>
                </c:pt>
                <c:pt idx="11">
                  <c:v>20</c:v>
                </c:pt>
                <c:pt idx="12">
                  <c:v>10</c:v>
                </c:pt>
                <c:pt idx="13">
                  <c:v>8</c:v>
                </c:pt>
                <c:pt idx="14">
                  <c:v>3</c:v>
                </c:pt>
                <c:pt idx="15">
                  <c:v>30</c:v>
                </c:pt>
                <c:pt idx="16">
                  <c:v>9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7</c:v>
                </c:pt>
                <c:pt idx="21">
                  <c:v>5</c:v>
                </c:pt>
                <c:pt idx="22">
                  <c:v>22</c:v>
                </c:pt>
                <c:pt idx="23">
                  <c:v>13</c:v>
                </c:pt>
                <c:pt idx="24">
                  <c:v>4</c:v>
                </c:pt>
                <c:pt idx="25">
                  <c:v>17</c:v>
                </c:pt>
                <c:pt idx="26">
                  <c:v>28</c:v>
                </c:pt>
                <c:pt idx="27">
                  <c:v>10</c:v>
                </c:pt>
                <c:pt idx="28">
                  <c:v>6</c:v>
                </c:pt>
                <c:pt idx="29">
                  <c:v>21</c:v>
                </c:pt>
                <c:pt idx="30">
                  <c:v>3</c:v>
                </c:pt>
                <c:pt idx="31">
                  <c:v>8</c:v>
                </c:pt>
                <c:pt idx="32">
                  <c:v>5</c:v>
                </c:pt>
                <c:pt idx="33">
                  <c:v>19</c:v>
                </c:pt>
                <c:pt idx="34">
                  <c:v>26</c:v>
                </c:pt>
                <c:pt idx="35">
                  <c:v>4</c:v>
                </c:pt>
                <c:pt idx="36">
                  <c:v>16</c:v>
                </c:pt>
                <c:pt idx="37">
                  <c:v>13</c:v>
                </c:pt>
                <c:pt idx="38">
                  <c:v>5</c:v>
                </c:pt>
                <c:pt idx="39">
                  <c:v>14</c:v>
                </c:pt>
              </c:numCache>
            </c:numRef>
          </c:xVal>
          <c:yVal>
            <c:numRef>
              <c:f>sales_answers!$J$2:$J$41</c:f>
              <c:numCache>
                <c:formatCode>General</c:formatCode>
                <c:ptCount val="40"/>
                <c:pt idx="0">
                  <c:v>9500</c:v>
                </c:pt>
                <c:pt idx="1">
                  <c:v>24300</c:v>
                </c:pt>
                <c:pt idx="2">
                  <c:v>39744</c:v>
                </c:pt>
                <c:pt idx="3">
                  <c:v>114840</c:v>
                </c:pt>
                <c:pt idx="4">
                  <c:v>45600</c:v>
                </c:pt>
                <c:pt idx="5">
                  <c:v>18750</c:v>
                </c:pt>
                <c:pt idx="6">
                  <c:v>35712</c:v>
                </c:pt>
                <c:pt idx="7">
                  <c:v>35910</c:v>
                </c:pt>
                <c:pt idx="8">
                  <c:v>44100</c:v>
                </c:pt>
                <c:pt idx="9">
                  <c:v>22407</c:v>
                </c:pt>
                <c:pt idx="10">
                  <c:v>46368</c:v>
                </c:pt>
                <c:pt idx="11">
                  <c:v>33840</c:v>
                </c:pt>
                <c:pt idx="12">
                  <c:v>11875</c:v>
                </c:pt>
                <c:pt idx="13">
                  <c:v>98600</c:v>
                </c:pt>
                <c:pt idx="14">
                  <c:v>34200</c:v>
                </c:pt>
                <c:pt idx="15">
                  <c:v>22050</c:v>
                </c:pt>
                <c:pt idx="16">
                  <c:v>26784</c:v>
                </c:pt>
                <c:pt idx="17">
                  <c:v>52920</c:v>
                </c:pt>
                <c:pt idx="18">
                  <c:v>31920</c:v>
                </c:pt>
                <c:pt idx="19">
                  <c:v>17605.5</c:v>
                </c:pt>
                <c:pt idx="20">
                  <c:v>91350</c:v>
                </c:pt>
                <c:pt idx="21">
                  <c:v>33120</c:v>
                </c:pt>
                <c:pt idx="22">
                  <c:v>37620</c:v>
                </c:pt>
                <c:pt idx="23">
                  <c:v>15600</c:v>
                </c:pt>
                <c:pt idx="24">
                  <c:v>35672</c:v>
                </c:pt>
                <c:pt idx="25">
                  <c:v>27208.5</c:v>
                </c:pt>
                <c:pt idx="26">
                  <c:v>20580</c:v>
                </c:pt>
                <c:pt idx="27">
                  <c:v>30080</c:v>
                </c:pt>
                <c:pt idx="28">
                  <c:v>77430</c:v>
                </c:pt>
                <c:pt idx="29">
                  <c:v>41895</c:v>
                </c:pt>
                <c:pt idx="30">
                  <c:v>27048</c:v>
                </c:pt>
                <c:pt idx="31">
                  <c:v>53568</c:v>
                </c:pt>
                <c:pt idx="32">
                  <c:v>57000</c:v>
                </c:pt>
                <c:pt idx="33">
                  <c:v>32832</c:v>
                </c:pt>
                <c:pt idx="34">
                  <c:v>19110</c:v>
                </c:pt>
                <c:pt idx="35">
                  <c:v>52200</c:v>
                </c:pt>
                <c:pt idx="36">
                  <c:v>19000</c:v>
                </c:pt>
                <c:pt idx="37">
                  <c:v>20806.5</c:v>
                </c:pt>
                <c:pt idx="38">
                  <c:v>45080</c:v>
                </c:pt>
                <c:pt idx="39">
                  <c:v>42112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E5-45B4-A88A-EE90BD323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203864"/>
        <c:axId val="1013197384"/>
      </c:scatterChart>
      <c:valAx>
        <c:axId val="101320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</a:p>
            </c:rich>
          </c:tx>
          <c:layout>
            <c:manualLayout>
              <c:xMode val="edge"/>
              <c:yMode val="edge"/>
              <c:x val="0.54590449426390919"/>
              <c:y val="0.89826866167598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97384"/>
        <c:crosses val="autoZero"/>
        <c:crossBetween val="midCat"/>
      </c:valAx>
      <c:valAx>
        <c:axId val="101319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03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[project6_mdamer.xlsx]charts2!PivotTable91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and average discount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rgbClr val="FF0000">
                <a:alpha val="95000"/>
              </a:srgb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76000"/>
              </a:schemeClr>
            </a:solidFill>
            <a:ln w="9525">
              <a:solidFill>
                <a:schemeClr val="accent1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accent5">
                <a:lumMod val="40000"/>
                <a:lumOff val="60000"/>
                <a:alpha val="78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charts2!$P$24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solidFill>
                <a:schemeClr val="accent5">
                  <a:lumMod val="40000"/>
                  <a:lumOff val="60000"/>
                  <a:alpha val="78000"/>
                </a:schemeClr>
              </a:solidFill>
            </a:ln>
            <a:effectLst/>
          </c:spPr>
          <c:invertIfNegative val="0"/>
          <c:cat>
            <c:strRef>
              <c:f>charts2!$N$25:$N$29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charts2!$P$25:$P$29</c:f>
              <c:numCache>
                <c:formatCode>General</c:formatCode>
                <c:ptCount val="4"/>
                <c:pt idx="0">
                  <c:v>390863</c:v>
                </c:pt>
                <c:pt idx="1">
                  <c:v>376162.5</c:v>
                </c:pt>
                <c:pt idx="2">
                  <c:v>410555.5</c:v>
                </c:pt>
                <c:pt idx="3">
                  <c:v>368756.5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2-48B6-8C9E-B4B35FE35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3343480"/>
        <c:axId val="1003342400"/>
      </c:barChart>
      <c:lineChart>
        <c:grouping val="standard"/>
        <c:varyColors val="0"/>
        <c:ser>
          <c:idx val="0"/>
          <c:order val="0"/>
          <c:tx>
            <c:strRef>
              <c:f>charts2!$O$24</c:f>
              <c:strCache>
                <c:ptCount val="1"/>
                <c:pt idx="0">
                  <c:v>Average of Discount</c:v>
                </c:pt>
              </c:strCache>
            </c:strRef>
          </c:tx>
          <c:spPr>
            <a:ln w="28575" cap="rnd">
              <a:solidFill>
                <a:srgbClr val="FF0000">
                  <a:alpha val="9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strRef>
              <c:f>charts2!$N$25:$N$29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charts2!$O$25:$O$29</c:f>
              <c:numCache>
                <c:formatCode>0.00%</c:formatCode>
                <c:ptCount val="4"/>
                <c:pt idx="0">
                  <c:v>6.5000000000000002E-2</c:v>
                </c:pt>
                <c:pt idx="1">
                  <c:v>6.6000000000000003E-2</c:v>
                </c:pt>
                <c:pt idx="2">
                  <c:v>6.3000000000000014E-2</c:v>
                </c:pt>
                <c:pt idx="3">
                  <c:v>5.7999999999999982E-2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2-48B6-8C9E-B4B35FE35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893184"/>
        <c:axId val="338892824"/>
      </c:lineChart>
      <c:catAx>
        <c:axId val="100334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42400"/>
        <c:crosses val="autoZero"/>
        <c:auto val="1"/>
        <c:lblAlgn val="ctr"/>
        <c:lblOffset val="100"/>
        <c:noMultiLvlLbl val="0"/>
      </c:catAx>
      <c:valAx>
        <c:axId val="10033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43480"/>
        <c:crosses val="autoZero"/>
        <c:crossBetween val="between"/>
      </c:valAx>
      <c:valAx>
        <c:axId val="33889282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93184"/>
        <c:crosses val="max"/>
        <c:crossBetween val="between"/>
      </c:valAx>
      <c:catAx>
        <c:axId val="338893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8892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22</xdr:row>
      <xdr:rowOff>34925</xdr:rowOff>
    </xdr:from>
    <xdr:to>
      <xdr:col>12</xdr:col>
      <xdr:colOff>234950</xdr:colOff>
      <xdr:row>37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EABFE-81A4-FAD6-1368-71E2EAF7D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234950</xdr:colOff>
      <xdr:row>1</xdr:row>
      <xdr:rowOff>85724</xdr:rowOff>
    </xdr:from>
    <xdr:to>
      <xdr:col>24</xdr:col>
      <xdr:colOff>254000</xdr:colOff>
      <xdr:row>17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8324D-6FE1-2972-C2B6-C94B2349B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266700</xdr:colOff>
      <xdr:row>41</xdr:row>
      <xdr:rowOff>123825</xdr:rowOff>
    </xdr:from>
    <xdr:to>
      <xdr:col>10</xdr:col>
      <xdr:colOff>571500</xdr:colOff>
      <xdr:row>56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E2ECA4-76F2-3977-25E8-37C99FD94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273050</xdr:colOff>
      <xdr:row>1</xdr:row>
      <xdr:rowOff>130175</xdr:rowOff>
    </xdr:from>
    <xdr:to>
      <xdr:col>9</xdr:col>
      <xdr:colOff>577850</xdr:colOff>
      <xdr:row>16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8676FD-CE93-EA89-1F61-3D1F1BA2C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196850</xdr:colOff>
      <xdr:row>37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EC90CA-914B-4AB9-8AFE-6B4C9F84E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86895</xdr:colOff>
      <xdr:row>21</xdr:row>
      <xdr:rowOff>38768</xdr:rowOff>
    </xdr:from>
    <xdr:to>
      <xdr:col>23</xdr:col>
      <xdr:colOff>401052</xdr:colOff>
      <xdr:row>35</xdr:row>
      <xdr:rowOff>161758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ECC7B4-760B-E88F-DD24-3F8A1DCC9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4.530549537034" createdVersion="8" refreshedVersion="8" minRefreshableVersion="3" recordCount="40" xr:uid="{7371DDDE-F2DE-48C7-AC64-F27386775260}">
  <cacheSource type="worksheet">
    <worksheetSource ref="A1:M41" sheet="sales_answers"/>
  </cacheSource>
  <cacheFields count="15">
    <cacheField name="Order ID" numFmtId="0">
      <sharedItems/>
    </cacheField>
    <cacheField name="Order Date" numFmtId="164">
      <sharedItems containsSemiMixedTypes="0" containsNonDate="0" containsDate="1" containsString="0" minDate="2026-01-05T00:00:00" maxDate="2026-04-30T00:00:00" count="40">
        <d v="2026-01-05T00:00:00"/>
        <d v="2026-01-07T00:00:00"/>
        <d v="2026-01-09T00:00:00"/>
        <d v="2026-01-12T00:00:00"/>
        <d v="2026-01-15T00:00:00"/>
        <d v="2026-01-18T00:00:00"/>
        <d v="2026-01-20T00:00:00"/>
        <d v="2026-01-23T00:00:00"/>
        <d v="2026-01-26T00:00:00"/>
        <d v="2026-01-28T00:00:00"/>
        <d v="2026-02-02T00:00:00"/>
        <d v="2026-02-05T00:00:00"/>
        <d v="2026-02-08T00:00:00"/>
        <d v="2026-02-11T00:00:00"/>
        <d v="2026-02-14T00:00:00"/>
        <d v="2026-02-17T00:00:00"/>
        <d v="2026-02-20T00:00:00"/>
        <d v="2026-02-23T00:00:00"/>
        <d v="2026-02-25T00:00:00"/>
        <d v="2026-02-27T00:00:00"/>
        <d v="2026-03-02T00:00:00"/>
        <d v="2026-03-05T00:00:00"/>
        <d v="2026-03-08T00:00:00"/>
        <d v="2026-03-11T00:00:00"/>
        <d v="2026-03-14T00:00:00"/>
        <d v="2026-03-17T00:00:00"/>
        <d v="2026-03-20T00:00:00"/>
        <d v="2026-03-23T00:00:00"/>
        <d v="2026-03-26T00:00:00"/>
        <d v="2026-03-29T00:00:00"/>
        <d v="2026-04-02T00:00:00"/>
        <d v="2026-04-05T00:00:00"/>
        <d v="2026-04-08T00:00:00"/>
        <d v="2026-04-11T00:00:00"/>
        <d v="2026-04-14T00:00:00"/>
        <d v="2026-04-17T00:00:00"/>
        <d v="2026-04-20T00:00:00"/>
        <d v="2026-04-23T00:00:00"/>
        <d v="2026-04-26T00:00:00"/>
        <d v="2026-04-29T00:00:00"/>
      </sharedItems>
      <fieldGroup par="14"/>
    </cacheField>
    <cacheField name="Customer ID" numFmtId="0">
      <sharedItems/>
    </cacheField>
    <cacheField name="Product" numFmtId="0">
      <sharedItems count="10">
        <s v="Laptop Stand"/>
        <s v="Keyboard"/>
        <s v="Office Chair"/>
        <s v="Monitor"/>
        <s v="Desk"/>
        <s v="Mouse"/>
        <s v="Webcam"/>
        <s v="Headset"/>
        <s v="Printer"/>
        <s v="Desk Lamp"/>
      </sharedItems>
    </cacheField>
    <cacheField name="Category" numFmtId="0">
      <sharedItems count="2">
        <s v="Electronics"/>
        <s v="Furniture"/>
      </sharedItems>
    </cacheField>
    <cacheField name="Region" numFmtId="0">
      <sharedItems count="4">
        <s v="North"/>
        <s v="West"/>
        <s v="South"/>
        <s v="East"/>
      </sharedItems>
    </cacheField>
    <cacheField name="Units" numFmtId="0">
      <sharedItems containsSemiMixedTypes="0" containsString="0" containsNumber="1" containsInteger="1" minValue="3" maxValue="30" count="24">
        <n v="8"/>
        <n v="15"/>
        <n v="6"/>
        <n v="9"/>
        <n v="4"/>
        <n v="25"/>
        <n v="12"/>
        <n v="18"/>
        <n v="5"/>
        <n v="14"/>
        <n v="7"/>
        <n v="20"/>
        <n v="10"/>
        <n v="3"/>
        <n v="30"/>
        <n v="16"/>
        <n v="11"/>
        <n v="22"/>
        <n v="13"/>
        <n v="17"/>
        <n v="28"/>
        <n v="21"/>
        <n v="19"/>
        <n v="26"/>
      </sharedItems>
    </cacheField>
    <cacheField name="Unit Price" numFmtId="165">
      <sharedItems containsSemiMixedTypes="0" containsString="0" containsNumber="1" containsInteger="1" minValue="750" maxValue="14500"/>
    </cacheField>
    <cacheField name="Discount" numFmtId="9">
      <sharedItems containsSemiMixedTypes="0" containsString="0" containsNumber="1" minValue="0" maxValue="0.15"/>
    </cacheField>
    <cacheField name="sales_amount" numFmtId="0">
      <sharedItems containsSemiMixedTypes="0" containsString="0" containsNumber="1" minValue="9500" maxValue="114840"/>
    </cacheField>
    <cacheField name="discount_amount" numFmtId="0">
      <sharedItems containsSemiMixedTypes="0" containsString="0" containsNumber="1" minValue="0" maxValue="17400"/>
    </cacheField>
    <cacheField name="customer  name" numFmtId="0">
      <sharedItems/>
    </cacheField>
    <cacheField name="segment" numFmtId="0">
      <sharedItems/>
    </cacheField>
    <cacheField name="Days (Order Date)" numFmtId="0" databaseField="0">
      <fieldGroup base="1">
        <rangePr groupBy="days" startDate="2026-01-05T00:00:00" endDate="2026-04-30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4-2026"/>
        </groupItems>
      </fieldGroup>
    </cacheField>
    <cacheField name="Months (Order Date)" numFmtId="0" databaseField="0">
      <fieldGroup base="1">
        <rangePr groupBy="months" startDate="2026-01-05T00:00:00" endDate="2026-04-30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O1001"/>
    <x v="0"/>
    <s v="C001"/>
    <x v="0"/>
    <x v="0"/>
    <x v="0"/>
    <x v="0"/>
    <n v="1250"/>
    <n v="0.05"/>
    <n v="9500"/>
    <n v="500"/>
    <s v="Aarav Retail"/>
    <s v="Retail"/>
  </r>
  <r>
    <s v="O1002"/>
    <x v="1"/>
    <s v="C003"/>
    <x v="1"/>
    <x v="0"/>
    <x v="1"/>
    <x v="1"/>
    <n v="1800"/>
    <n v="0.1"/>
    <n v="24300"/>
    <n v="2700"/>
    <s v="Crest Foods"/>
    <s v="Wholesale"/>
  </r>
  <r>
    <s v="O1003"/>
    <x v="2"/>
    <s v="C002"/>
    <x v="2"/>
    <x v="1"/>
    <x v="2"/>
    <x v="2"/>
    <n v="7200"/>
    <n v="0.08"/>
    <n v="39744"/>
    <n v="3456"/>
    <s v="BlueMart"/>
    <s v="Retail"/>
  </r>
  <r>
    <s v="O1004"/>
    <x v="3"/>
    <s v="C005"/>
    <x v="3"/>
    <x v="0"/>
    <x v="2"/>
    <x v="3"/>
    <n v="14500"/>
    <n v="0.12"/>
    <n v="114840"/>
    <n v="15660"/>
    <s v="Elite Supplies"/>
    <s v="Wholesale"/>
  </r>
  <r>
    <s v="O1005"/>
    <x v="4"/>
    <s v="C004"/>
    <x v="4"/>
    <x v="1"/>
    <x v="0"/>
    <x v="4"/>
    <n v="12000"/>
    <n v="0.05"/>
    <n v="45600"/>
    <n v="2400"/>
    <s v="Delta Stores"/>
    <s v="Retail"/>
  </r>
  <r>
    <s v="O1006"/>
    <x v="5"/>
    <s v="C006"/>
    <x v="5"/>
    <x v="0"/>
    <x v="3"/>
    <x v="5"/>
    <n v="750"/>
    <n v="0"/>
    <n v="18750"/>
    <n v="0"/>
    <s v="Fresh Basket"/>
    <s v="Retail"/>
  </r>
  <r>
    <s v="O1007"/>
    <x v="6"/>
    <s v="C007"/>
    <x v="6"/>
    <x v="0"/>
    <x v="1"/>
    <x v="6"/>
    <n v="3200"/>
    <n v="7.0000000000000007E-2"/>
    <n v="35712"/>
    <n v="2688.0000000000005"/>
    <s v="Green Valley"/>
    <s v="Retail"/>
  </r>
  <r>
    <s v="O1008"/>
    <x v="7"/>
    <s v="C008"/>
    <x v="7"/>
    <x v="0"/>
    <x v="2"/>
    <x v="7"/>
    <n v="2100"/>
    <n v="0.05"/>
    <n v="35910"/>
    <n v="1890"/>
    <s v="Horizon Cafe"/>
    <s v="Food Service"/>
  </r>
  <r>
    <s v="O1009"/>
    <x v="8"/>
    <s v="C009"/>
    <x v="8"/>
    <x v="0"/>
    <x v="0"/>
    <x v="8"/>
    <n v="9800"/>
    <n v="0.1"/>
    <n v="44100"/>
    <n v="4900"/>
    <s v="Ivy Traders"/>
    <s v="Wholesale"/>
  </r>
  <r>
    <s v="O1010"/>
    <x v="9"/>
    <s v="C010"/>
    <x v="9"/>
    <x v="1"/>
    <x v="1"/>
    <x v="9"/>
    <n v="1650"/>
    <n v="0.03"/>
    <n v="22407"/>
    <n v="693"/>
    <s v="Jupiter Mart"/>
    <s v="Retail"/>
  </r>
  <r>
    <s v="O1011"/>
    <x v="10"/>
    <s v="C011"/>
    <x v="2"/>
    <x v="1"/>
    <x v="2"/>
    <x v="10"/>
    <n v="7200"/>
    <n v="0.08"/>
    <n v="46368"/>
    <n v="4032"/>
    <s v="Kaveri Foods"/>
    <s v="Wholesale"/>
  </r>
  <r>
    <s v="O1012"/>
    <x v="11"/>
    <s v="C012"/>
    <x v="1"/>
    <x v="0"/>
    <x v="3"/>
    <x v="11"/>
    <n v="1800"/>
    <n v="0.06"/>
    <n v="33840"/>
    <n v="2160"/>
    <s v="Lotus Retail"/>
    <s v="Retail"/>
  </r>
  <r>
    <s v="O1013"/>
    <x v="12"/>
    <s v="C013"/>
    <x v="0"/>
    <x v="0"/>
    <x v="0"/>
    <x v="12"/>
    <n v="1250"/>
    <n v="0.05"/>
    <n v="11875"/>
    <n v="625"/>
    <s v="Metro Bazaar"/>
    <s v="Retail"/>
  </r>
  <r>
    <s v="O1014"/>
    <x v="13"/>
    <s v="C014"/>
    <x v="3"/>
    <x v="0"/>
    <x v="1"/>
    <x v="0"/>
    <n v="14500"/>
    <n v="0.15"/>
    <n v="98600"/>
    <n v="17400"/>
    <s v="Nova Wholesale"/>
    <s v="Wholesale"/>
  </r>
  <r>
    <s v="O1015"/>
    <x v="14"/>
    <s v="C015"/>
    <x v="4"/>
    <x v="1"/>
    <x v="2"/>
    <x v="13"/>
    <n v="12000"/>
    <n v="0.05"/>
    <n v="34200"/>
    <n v="1800"/>
    <s v="Orchid Cafe"/>
    <s v="Food Service"/>
  </r>
  <r>
    <s v="O1016"/>
    <x v="15"/>
    <s v="C016"/>
    <x v="5"/>
    <x v="0"/>
    <x v="3"/>
    <x v="14"/>
    <n v="750"/>
    <n v="0.02"/>
    <n v="22050"/>
    <n v="450"/>
    <s v="Prime Grocers"/>
    <s v="Retail"/>
  </r>
  <r>
    <s v="O1017"/>
    <x v="16"/>
    <s v="C017"/>
    <x v="6"/>
    <x v="0"/>
    <x v="0"/>
    <x v="3"/>
    <n v="3200"/>
    <n v="7.0000000000000007E-2"/>
    <n v="26784"/>
    <n v="2016.0000000000002"/>
    <s v="QuickBuy"/>
    <s v="Retail"/>
  </r>
  <r>
    <s v="O1018"/>
    <x v="17"/>
    <s v="C018"/>
    <x v="8"/>
    <x v="0"/>
    <x v="1"/>
    <x v="2"/>
    <n v="9800"/>
    <n v="0.1"/>
    <n v="52920"/>
    <n v="5880"/>
    <s v="Royal Foods"/>
    <s v="Wholesale"/>
  </r>
  <r>
    <s v="O1019"/>
    <x v="18"/>
    <s v="C019"/>
    <x v="7"/>
    <x v="0"/>
    <x v="2"/>
    <x v="15"/>
    <n v="2100"/>
    <n v="0.05"/>
    <n v="31920"/>
    <n v="1680"/>
    <s v="Sunrise Mart"/>
    <s v="Retail"/>
  </r>
  <r>
    <s v="O1020"/>
    <x v="19"/>
    <s v="C020"/>
    <x v="9"/>
    <x v="1"/>
    <x v="3"/>
    <x v="16"/>
    <n v="1650"/>
    <n v="0.03"/>
    <n v="17605.5"/>
    <n v="544.5"/>
    <s v="TrueValue"/>
    <s v="Wholesale"/>
  </r>
  <r>
    <s v="O1021"/>
    <x v="20"/>
    <s v="C001"/>
    <x v="3"/>
    <x v="0"/>
    <x v="0"/>
    <x v="10"/>
    <n v="14500"/>
    <n v="0.1"/>
    <n v="91350"/>
    <n v="10150"/>
    <s v="Aarav Retail"/>
    <s v="Retail"/>
  </r>
  <r>
    <s v="O1022"/>
    <x v="21"/>
    <s v="C003"/>
    <x v="2"/>
    <x v="1"/>
    <x v="1"/>
    <x v="8"/>
    <n v="7200"/>
    <n v="0.08"/>
    <n v="33120"/>
    <n v="2880"/>
    <s v="Crest Foods"/>
    <s v="Wholesale"/>
  </r>
  <r>
    <s v="O1023"/>
    <x v="22"/>
    <s v="C002"/>
    <x v="1"/>
    <x v="0"/>
    <x v="2"/>
    <x v="17"/>
    <n v="1800"/>
    <n v="0.05"/>
    <n v="37620"/>
    <n v="1980"/>
    <s v="BlueMart"/>
    <s v="Retail"/>
  </r>
  <r>
    <s v="O1024"/>
    <x v="23"/>
    <s v="C005"/>
    <x v="0"/>
    <x v="0"/>
    <x v="2"/>
    <x v="18"/>
    <n v="1250"/>
    <n v="0.04"/>
    <n v="15600"/>
    <n v="650"/>
    <s v="Elite Supplies"/>
    <s v="Wholesale"/>
  </r>
  <r>
    <s v="O1025"/>
    <x v="24"/>
    <s v="C004"/>
    <x v="8"/>
    <x v="0"/>
    <x v="0"/>
    <x v="4"/>
    <n v="9800"/>
    <n v="0.09"/>
    <n v="35672"/>
    <n v="3528"/>
    <s v="Delta Stores"/>
    <s v="Retail"/>
  </r>
  <r>
    <s v="O1026"/>
    <x v="25"/>
    <s v="C006"/>
    <x v="9"/>
    <x v="1"/>
    <x v="3"/>
    <x v="19"/>
    <n v="1650"/>
    <n v="0.03"/>
    <n v="27208.5"/>
    <n v="841.5"/>
    <s v="Fresh Basket"/>
    <s v="Retail"/>
  </r>
  <r>
    <s v="O1027"/>
    <x v="26"/>
    <s v="C007"/>
    <x v="5"/>
    <x v="0"/>
    <x v="1"/>
    <x v="20"/>
    <n v="750"/>
    <n v="0.02"/>
    <n v="20580"/>
    <n v="420"/>
    <s v="Green Valley"/>
    <s v="Retail"/>
  </r>
  <r>
    <s v="O1028"/>
    <x v="27"/>
    <s v="C008"/>
    <x v="6"/>
    <x v="0"/>
    <x v="2"/>
    <x v="12"/>
    <n v="3200"/>
    <n v="0.06"/>
    <n v="30080"/>
    <n v="1920"/>
    <s v="Horizon Cafe"/>
    <s v="Food Service"/>
  </r>
  <r>
    <s v="O1029"/>
    <x v="28"/>
    <s v="C009"/>
    <x v="3"/>
    <x v="0"/>
    <x v="0"/>
    <x v="2"/>
    <n v="14500"/>
    <n v="0.11"/>
    <n v="77430"/>
    <n v="9570"/>
    <s v="Ivy Traders"/>
    <s v="Wholesale"/>
  </r>
  <r>
    <s v="O1030"/>
    <x v="29"/>
    <s v="C010"/>
    <x v="7"/>
    <x v="0"/>
    <x v="1"/>
    <x v="21"/>
    <n v="2100"/>
    <n v="0.05"/>
    <n v="41895"/>
    <n v="2205"/>
    <s v="Jupiter Mart"/>
    <s v="Retail"/>
  </r>
  <r>
    <s v="O1031"/>
    <x v="30"/>
    <s v="C011"/>
    <x v="8"/>
    <x v="0"/>
    <x v="2"/>
    <x v="13"/>
    <n v="9800"/>
    <n v="0.08"/>
    <n v="27048"/>
    <n v="2352"/>
    <s v="Kaveri Foods"/>
    <s v="Wholesale"/>
  </r>
  <r>
    <s v="O1032"/>
    <x v="31"/>
    <s v="C012"/>
    <x v="2"/>
    <x v="1"/>
    <x v="3"/>
    <x v="0"/>
    <n v="7200"/>
    <n v="7.0000000000000007E-2"/>
    <n v="53568"/>
    <n v="4032.0000000000005"/>
    <s v="Lotus Retail"/>
    <s v="Retail"/>
  </r>
  <r>
    <s v="O1033"/>
    <x v="32"/>
    <s v="C013"/>
    <x v="4"/>
    <x v="1"/>
    <x v="0"/>
    <x v="8"/>
    <n v="12000"/>
    <n v="0.05"/>
    <n v="57000"/>
    <n v="3000"/>
    <s v="Metro Bazaar"/>
    <s v="Retail"/>
  </r>
  <r>
    <s v="O1034"/>
    <x v="33"/>
    <s v="C014"/>
    <x v="1"/>
    <x v="0"/>
    <x v="1"/>
    <x v="22"/>
    <n v="1800"/>
    <n v="0.04"/>
    <n v="32832"/>
    <n v="1368"/>
    <s v="Nova Wholesale"/>
    <s v="Wholesale"/>
  </r>
  <r>
    <s v="O1035"/>
    <x v="34"/>
    <s v="C015"/>
    <x v="5"/>
    <x v="0"/>
    <x v="2"/>
    <x v="23"/>
    <n v="750"/>
    <n v="0.02"/>
    <n v="19110"/>
    <n v="390"/>
    <s v="Orchid Cafe"/>
    <s v="Food Service"/>
  </r>
  <r>
    <s v="O1036"/>
    <x v="35"/>
    <s v="C016"/>
    <x v="3"/>
    <x v="0"/>
    <x v="3"/>
    <x v="4"/>
    <n v="14500"/>
    <n v="0.1"/>
    <n v="52200"/>
    <n v="5800"/>
    <s v="Prime Grocers"/>
    <s v="Retail"/>
  </r>
  <r>
    <s v="O1037"/>
    <x v="36"/>
    <s v="C017"/>
    <x v="0"/>
    <x v="0"/>
    <x v="0"/>
    <x v="15"/>
    <n v="1250"/>
    <n v="0.05"/>
    <n v="19000"/>
    <n v="1000"/>
    <s v="QuickBuy"/>
    <s v="Retail"/>
  </r>
  <r>
    <s v="O1038"/>
    <x v="37"/>
    <s v="C018"/>
    <x v="9"/>
    <x v="1"/>
    <x v="1"/>
    <x v="18"/>
    <n v="1650"/>
    <n v="0.03"/>
    <n v="20806.5"/>
    <n v="643.5"/>
    <s v="Royal Foods"/>
    <s v="Wholesale"/>
  </r>
  <r>
    <s v="O1039"/>
    <x v="38"/>
    <s v="C019"/>
    <x v="8"/>
    <x v="0"/>
    <x v="2"/>
    <x v="8"/>
    <n v="9800"/>
    <n v="0.08"/>
    <n v="45080"/>
    <n v="3920"/>
    <s v="Sunrise Mart"/>
    <s v="Retail"/>
  </r>
  <r>
    <s v="O1040"/>
    <x v="39"/>
    <s v="C020"/>
    <x v="6"/>
    <x v="0"/>
    <x v="3"/>
    <x v="9"/>
    <n v="3200"/>
    <n v="0.06"/>
    <n v="42112"/>
    <n v="2688"/>
    <s v="TrueValue"/>
    <s v="Wholes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E3E6C-9360-494F-AE9F-34F84BB1D358}" name="PivotTable5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0:R26" firstHeaderRow="1" firstDataRow="1" firstDataCol="1" rowPageCount="1" colPageCount="1"/>
  <pivotFields count="15">
    <pivotField showAll="0"/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axis="axisRow" showAll="0">
      <items count="11">
        <item x="4"/>
        <item x="9"/>
        <item x="7"/>
        <item x="1"/>
        <item x="0"/>
        <item x="3"/>
        <item x="5"/>
        <item x="2"/>
        <item x="8"/>
        <item x="6"/>
        <item t="default"/>
      </items>
    </pivotField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  <pivotField numFmtId="165" showAll="0"/>
    <pivotField numFmtId="9"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4"/>
    </i>
    <i>
      <x v="5"/>
    </i>
    <i>
      <x v="8"/>
    </i>
    <i>
      <x v="9"/>
    </i>
    <i t="grand">
      <x/>
    </i>
  </rowItems>
  <colItems count="1">
    <i/>
  </colItems>
  <pageFields count="1">
    <pageField fld="5" item="1" hier="-1"/>
  </pageFields>
  <dataFields count="1">
    <dataField name="Sum of sales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9B910-7A2C-4494-9EEA-A1ABE4780CFD}" name="PivotTable5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7:R52" firstHeaderRow="1" firstDataRow="1" firstDataCol="1"/>
  <pivotFields count="15">
    <pivotField dataField="1" showAll="0"/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numFmtId="9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DA038-ABFE-49F1-9858-56803FD98943}" name="PivotTable5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6:R39" firstHeaderRow="1" firstDataRow="1" firstDataCol="1"/>
  <pivotFields count="15">
    <pivotField showAll="0"/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65" showAll="0"/>
    <pivotField numFmtId="9"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sales_amount" fld="9" subtotal="average" baseField="4" baseItem="0"/>
  </dataFields>
  <formats count="1">
    <format dxfId="4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4AFE1-F134-4202-8D92-9C01715A236F}" name="PivotTable5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6:B31" firstHeaderRow="1" firstDataRow="1" firstDataCol="1"/>
  <pivotFields count="15">
    <pivotField showAll="0"/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numFmtId="165" showAll="0"/>
    <pivotField numFmtId="9"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8A5C6-D793-4767-9D43-EE734D576D66}" name="PivotTable5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8" firstHeaderRow="1" firstDataRow="1" firstDataCol="1"/>
  <pivotFields count="15">
    <pivotField showAll="0"/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numFmtId="165" showAll="0"/>
    <pivotField numFmtId="9"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5"/>
    <field x="4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Sum of sales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3C7A3-DA4B-4E81-B551-82E1AB32B421}" name="PivotTable5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3:C48" firstHeaderRow="1" firstDataRow="1" firstDataCol="1"/>
  <pivotFields count="15">
    <pivotField showAll="0"/>
    <pivotField axis="axisRow"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9"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F4865-7A6D-456F-9A33-8213ED6C5D6C}" name="PivotTable5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2:P13" firstHeaderRow="1" firstDataRow="1" firstDataCol="1"/>
  <pivotFields count="15">
    <pivotField showAll="0"/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axis="axisRow" showAll="0">
      <items count="11">
        <item x="4"/>
        <item x="9"/>
        <item x="7"/>
        <item x="1"/>
        <item x="0"/>
        <item x="3"/>
        <item x="5"/>
        <item x="2"/>
        <item x="8"/>
        <item x="6"/>
        <item t="default"/>
      </items>
    </pivotField>
    <pivotField showAll="0"/>
    <pivotField showAll="0"/>
    <pivotField showAll="0"/>
    <pivotField numFmtId="165" showAll="0"/>
    <pivotField numFmtId="9"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_amou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16234-56E8-4EEC-97FC-7CDF77FAF800}" name="PivotTable9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N24:P29" firstHeaderRow="0" firstDataRow="1" firstDataCol="1"/>
  <pivotFields count="15">
    <pivotField showAll="0"/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showAll="0"/>
    <pivotField showAll="0"/>
    <pivotField numFmtId="165" showAll="0"/>
    <pivotField dataField="1" numFmtId="9" showAll="0"/>
    <pivotField dataField="1" showAll="0"/>
    <pivotField showAll="0"/>
    <pivotField showAll="0"/>
    <pivotField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8" subtotal="average" baseField="0" baseItem="0" numFmtId="9"/>
    <dataField name="Sum of sales_amount" fld="9" baseField="0" baseItem="0"/>
  </dataFields>
  <formats count="1">
    <format dxfId="3">
      <pivotArea collapsedLevelsAreSubtotals="1" fieldPosition="0">
        <references count="2">
          <reference field="4294967294" count="1" selected="0">
            <x v="0"/>
          </reference>
          <reference field="14" count="4">
            <x v="1"/>
            <x v="2"/>
            <x v="3"/>
            <x v="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5D399-C7B8-41DF-BC86-B3AF5FAD0032}" name="PivotTable5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9" firstHeaderRow="1" firstDataRow="1" firstDataCol="1"/>
  <pivotFields count="15">
    <pivotField showAll="0"/>
    <pivotField numFmtId="16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numFmtId="165" showAll="0"/>
    <pivotField numFmtId="9"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9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F6C7-FA33-451D-9315-2DCEEAAE33B0}">
  <dimension ref="A1:E22"/>
  <sheetViews>
    <sheetView workbookViewId="0">
      <pane ySplit="1" topLeftCell="A5" activePane="bottomLeft" state="frozen"/>
      <selection activeCell="I18" sqref="I18"/>
      <selection pane="bottomLeft" sqref="A1:E22"/>
    </sheetView>
  </sheetViews>
  <sheetFormatPr defaultRowHeight="14.5"/>
  <cols>
    <col min="1" max="1" width="13" customWidth="1"/>
    <col min="2" max="2" width="16" customWidth="1"/>
    <col min="3" max="3" width="12" customWidth="1"/>
    <col min="4" max="4" width="14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7</v>
      </c>
      <c r="D5" t="s">
        <v>8</v>
      </c>
      <c r="E5" t="s">
        <v>21</v>
      </c>
    </row>
    <row r="6" spans="1:5">
      <c r="A6" t="s">
        <v>22</v>
      </c>
      <c r="B6" t="s">
        <v>23</v>
      </c>
      <c r="C6" t="s">
        <v>12</v>
      </c>
      <c r="D6" t="s">
        <v>17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>
      <c r="A8" t="s">
        <v>29</v>
      </c>
      <c r="B8" t="s">
        <v>30</v>
      </c>
      <c r="C8" t="s">
        <v>16</v>
      </c>
      <c r="D8" t="s">
        <v>8</v>
      </c>
      <c r="E8" t="s">
        <v>31</v>
      </c>
    </row>
    <row r="9" spans="1:5">
      <c r="A9" t="s">
        <v>32</v>
      </c>
      <c r="B9" t="s">
        <v>33</v>
      </c>
      <c r="C9" t="s">
        <v>12</v>
      </c>
      <c r="D9" t="s">
        <v>34</v>
      </c>
      <c r="E9" t="s">
        <v>13</v>
      </c>
    </row>
    <row r="10" spans="1:5">
      <c r="A10" t="s">
        <v>35</v>
      </c>
      <c r="B10" t="s">
        <v>36</v>
      </c>
      <c r="C10" t="s">
        <v>7</v>
      </c>
      <c r="D10" t="s">
        <v>17</v>
      </c>
      <c r="E10" t="s">
        <v>21</v>
      </c>
    </row>
    <row r="11" spans="1:5">
      <c r="A11" t="s">
        <v>37</v>
      </c>
      <c r="B11" t="s">
        <v>38</v>
      </c>
      <c r="C11" t="s">
        <v>16</v>
      </c>
      <c r="D11" t="s">
        <v>8</v>
      </c>
      <c r="E11" t="s">
        <v>31</v>
      </c>
    </row>
    <row r="12" spans="1:5">
      <c r="A12" t="s">
        <v>39</v>
      </c>
      <c r="B12" t="s">
        <v>40</v>
      </c>
      <c r="C12" t="s">
        <v>12</v>
      </c>
      <c r="D12" t="s">
        <v>17</v>
      </c>
      <c r="E12" t="s">
        <v>9</v>
      </c>
    </row>
    <row r="13" spans="1:5">
      <c r="A13" t="s">
        <v>41</v>
      </c>
      <c r="B13" t="s">
        <v>42</v>
      </c>
      <c r="C13" t="s">
        <v>27</v>
      </c>
      <c r="D13" t="s">
        <v>8</v>
      </c>
      <c r="E13" t="s">
        <v>28</v>
      </c>
    </row>
    <row r="14" spans="1:5">
      <c r="A14" t="s">
        <v>43</v>
      </c>
      <c r="B14" t="s">
        <v>44</v>
      </c>
      <c r="C14" t="s">
        <v>7</v>
      </c>
      <c r="D14" t="s">
        <v>8</v>
      </c>
      <c r="E14" t="s">
        <v>21</v>
      </c>
    </row>
    <row r="15" spans="1:5">
      <c r="A15" t="s">
        <v>45</v>
      </c>
      <c r="B15" t="s">
        <v>46</v>
      </c>
      <c r="C15" t="s">
        <v>16</v>
      </c>
      <c r="D15" t="s">
        <v>17</v>
      </c>
      <c r="E15" t="s">
        <v>18</v>
      </c>
    </row>
    <row r="16" spans="1:5">
      <c r="A16" t="s">
        <v>47</v>
      </c>
      <c r="B16" t="s">
        <v>48</v>
      </c>
      <c r="C16" t="s">
        <v>12</v>
      </c>
      <c r="D16" t="s">
        <v>34</v>
      </c>
      <c r="E16" t="s">
        <v>24</v>
      </c>
    </row>
    <row r="17" spans="1:5">
      <c r="A17" t="s">
        <v>49</v>
      </c>
      <c r="B17" t="s">
        <v>50</v>
      </c>
      <c r="C17" t="s">
        <v>27</v>
      </c>
      <c r="D17" t="s">
        <v>8</v>
      </c>
      <c r="E17" t="s">
        <v>28</v>
      </c>
    </row>
    <row r="18" spans="1:5">
      <c r="A18" t="s">
        <v>51</v>
      </c>
      <c r="B18" t="s">
        <v>52</v>
      </c>
      <c r="C18" t="s">
        <v>7</v>
      </c>
      <c r="D18" t="s">
        <v>8</v>
      </c>
      <c r="E18" t="s">
        <v>9</v>
      </c>
    </row>
    <row r="19" spans="1:5">
      <c r="A19" t="s">
        <v>53</v>
      </c>
      <c r="B19" t="s">
        <v>54</v>
      </c>
      <c r="C19" t="s">
        <v>16</v>
      </c>
      <c r="D19" t="s">
        <v>17</v>
      </c>
      <c r="E19" t="s">
        <v>31</v>
      </c>
    </row>
    <row r="20" spans="1:5">
      <c r="A20" t="s">
        <v>55</v>
      </c>
      <c r="B20" t="s">
        <v>56</v>
      </c>
      <c r="C20" t="s">
        <v>12</v>
      </c>
      <c r="D20" t="s">
        <v>8</v>
      </c>
      <c r="E20" t="s">
        <v>13</v>
      </c>
    </row>
    <row r="21" spans="1:5">
      <c r="A21" t="s">
        <v>57</v>
      </c>
      <c r="B21" t="s">
        <v>58</v>
      </c>
      <c r="C21" t="s">
        <v>27</v>
      </c>
      <c r="D21" t="s">
        <v>17</v>
      </c>
      <c r="E21" t="s">
        <v>28</v>
      </c>
    </row>
    <row r="22" spans="1:5">
      <c r="A22" t="s">
        <v>57</v>
      </c>
      <c r="B22" t="s">
        <v>58</v>
      </c>
      <c r="C22" t="s">
        <v>27</v>
      </c>
      <c r="D22" t="s">
        <v>17</v>
      </c>
      <c r="E2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9DF7-0615-44A3-B59B-19453C3133D7}">
  <dimension ref="A1:I41"/>
  <sheetViews>
    <sheetView workbookViewId="0">
      <pane ySplit="1" topLeftCell="A2" activePane="bottomLeft" state="frozen"/>
      <selection activeCell="I18" sqref="I18"/>
      <selection pane="bottomLeft"/>
    </sheetView>
  </sheetViews>
  <sheetFormatPr defaultRowHeight="14.5"/>
  <cols>
    <col min="1" max="2" width="12" customWidth="1"/>
    <col min="3" max="3" width="13" customWidth="1"/>
    <col min="4" max="4" width="14" customWidth="1"/>
    <col min="5" max="5" width="13" customWidth="1"/>
    <col min="6" max="9" width="12" customWidth="1"/>
  </cols>
  <sheetData>
    <row r="1" spans="1:9">
      <c r="A1" s="1" t="s">
        <v>59</v>
      </c>
      <c r="B1" s="1" t="s">
        <v>60</v>
      </c>
      <c r="C1" s="1" t="s">
        <v>0</v>
      </c>
      <c r="D1" s="1" t="s">
        <v>61</v>
      </c>
      <c r="E1" s="1" t="s">
        <v>62</v>
      </c>
      <c r="F1" s="1" t="s">
        <v>2</v>
      </c>
      <c r="G1" s="1" t="s">
        <v>63</v>
      </c>
      <c r="H1" s="1" t="s">
        <v>64</v>
      </c>
      <c r="I1" s="1" t="s">
        <v>65</v>
      </c>
    </row>
    <row r="2" spans="1:9">
      <c r="A2" t="s">
        <v>66</v>
      </c>
      <c r="B2" s="2">
        <v>46027</v>
      </c>
      <c r="C2" t="s">
        <v>5</v>
      </c>
      <c r="D2" t="s">
        <v>67</v>
      </c>
      <c r="E2" t="s">
        <v>68</v>
      </c>
      <c r="F2" t="s">
        <v>7</v>
      </c>
      <c r="G2">
        <v>8</v>
      </c>
      <c r="H2" s="3">
        <v>1250</v>
      </c>
      <c r="I2" s="4">
        <v>0.05</v>
      </c>
    </row>
    <row r="3" spans="1:9">
      <c r="A3" t="s">
        <v>69</v>
      </c>
      <c r="B3" s="2">
        <v>46029</v>
      </c>
      <c r="C3" t="s">
        <v>14</v>
      </c>
      <c r="D3" t="s">
        <v>70</v>
      </c>
      <c r="E3" t="s">
        <v>68</v>
      </c>
      <c r="F3" t="s">
        <v>16</v>
      </c>
      <c r="G3">
        <v>15</v>
      </c>
      <c r="H3" s="3">
        <v>1800</v>
      </c>
      <c r="I3" s="4">
        <v>0.1</v>
      </c>
    </row>
    <row r="4" spans="1:9">
      <c r="A4" t="s">
        <v>71</v>
      </c>
      <c r="B4" s="2">
        <v>46031</v>
      </c>
      <c r="C4" t="s">
        <v>10</v>
      </c>
      <c r="D4" t="s">
        <v>72</v>
      </c>
      <c r="E4" t="s">
        <v>73</v>
      </c>
      <c r="F4" t="s">
        <v>12</v>
      </c>
      <c r="G4">
        <v>6</v>
      </c>
      <c r="H4" s="3">
        <v>7200</v>
      </c>
      <c r="I4" s="4">
        <v>0.08</v>
      </c>
    </row>
    <row r="5" spans="1:9">
      <c r="A5" t="s">
        <v>74</v>
      </c>
      <c r="B5" s="2">
        <v>46034</v>
      </c>
      <c r="C5" t="s">
        <v>22</v>
      </c>
      <c r="D5" t="s">
        <v>75</v>
      </c>
      <c r="E5" t="s">
        <v>68</v>
      </c>
      <c r="F5" t="s">
        <v>12</v>
      </c>
      <c r="G5">
        <v>9</v>
      </c>
      <c r="H5" s="3">
        <v>14500</v>
      </c>
      <c r="I5" s="4">
        <v>0.12</v>
      </c>
    </row>
    <row r="6" spans="1:9">
      <c r="A6" t="s">
        <v>76</v>
      </c>
      <c r="B6" s="2">
        <v>46037</v>
      </c>
      <c r="C6" t="s">
        <v>19</v>
      </c>
      <c r="D6" t="s">
        <v>77</v>
      </c>
      <c r="E6" t="s">
        <v>73</v>
      </c>
      <c r="F6" t="s">
        <v>7</v>
      </c>
      <c r="G6">
        <v>4</v>
      </c>
      <c r="H6" s="3">
        <v>12000</v>
      </c>
      <c r="I6" s="4">
        <v>0.05</v>
      </c>
    </row>
    <row r="7" spans="1:9">
      <c r="A7" t="s">
        <v>78</v>
      </c>
      <c r="B7" s="2">
        <v>46040</v>
      </c>
      <c r="C7" t="s">
        <v>25</v>
      </c>
      <c r="D7" t="s">
        <v>79</v>
      </c>
      <c r="E7" t="s">
        <v>68</v>
      </c>
      <c r="F7" t="s">
        <v>27</v>
      </c>
      <c r="G7">
        <v>25</v>
      </c>
      <c r="H7" s="3">
        <v>750</v>
      </c>
      <c r="I7" s="4">
        <v>0</v>
      </c>
    </row>
    <row r="8" spans="1:9">
      <c r="A8" t="s">
        <v>80</v>
      </c>
      <c r="B8" s="2">
        <v>46042</v>
      </c>
      <c r="C8" t="s">
        <v>29</v>
      </c>
      <c r="D8" t="s">
        <v>81</v>
      </c>
      <c r="E8" t="s">
        <v>68</v>
      </c>
      <c r="F8" t="s">
        <v>16</v>
      </c>
      <c r="G8">
        <v>12</v>
      </c>
      <c r="H8" s="3">
        <v>3200</v>
      </c>
      <c r="I8" s="4">
        <v>7.0000000000000007E-2</v>
      </c>
    </row>
    <row r="9" spans="1:9">
      <c r="A9" t="s">
        <v>82</v>
      </c>
      <c r="B9" s="2">
        <v>46045</v>
      </c>
      <c r="C9" t="s">
        <v>32</v>
      </c>
      <c r="D9" t="s">
        <v>83</v>
      </c>
      <c r="E9" t="s">
        <v>68</v>
      </c>
      <c r="F9" t="s">
        <v>12</v>
      </c>
      <c r="G9">
        <v>18</v>
      </c>
      <c r="H9" s="3">
        <v>2100</v>
      </c>
      <c r="I9" s="4">
        <v>0.05</v>
      </c>
    </row>
    <row r="10" spans="1:9">
      <c r="A10" t="s">
        <v>84</v>
      </c>
      <c r="B10" s="2">
        <v>46048</v>
      </c>
      <c r="C10" t="s">
        <v>35</v>
      </c>
      <c r="D10" t="s">
        <v>85</v>
      </c>
      <c r="E10" t="s">
        <v>68</v>
      </c>
      <c r="F10" t="s">
        <v>7</v>
      </c>
      <c r="G10">
        <v>5</v>
      </c>
      <c r="H10" s="3">
        <v>9800</v>
      </c>
      <c r="I10" s="4">
        <v>0.1</v>
      </c>
    </row>
    <row r="11" spans="1:9">
      <c r="A11" t="s">
        <v>86</v>
      </c>
      <c r="B11" s="2">
        <v>46050</v>
      </c>
      <c r="C11" t="s">
        <v>37</v>
      </c>
      <c r="D11" t="s">
        <v>87</v>
      </c>
      <c r="E11" t="s">
        <v>73</v>
      </c>
      <c r="F11" t="s">
        <v>16</v>
      </c>
      <c r="G11">
        <v>14</v>
      </c>
      <c r="H11" s="3">
        <v>1650</v>
      </c>
      <c r="I11" s="4">
        <v>0.03</v>
      </c>
    </row>
    <row r="12" spans="1:9">
      <c r="A12" t="s">
        <v>88</v>
      </c>
      <c r="B12" s="2">
        <v>46055</v>
      </c>
      <c r="C12" t="s">
        <v>39</v>
      </c>
      <c r="D12" t="s">
        <v>72</v>
      </c>
      <c r="E12" t="s">
        <v>73</v>
      </c>
      <c r="F12" t="s">
        <v>12</v>
      </c>
      <c r="G12">
        <v>7</v>
      </c>
      <c r="H12" s="3">
        <v>7200</v>
      </c>
      <c r="I12" s="4">
        <v>0.08</v>
      </c>
    </row>
    <row r="13" spans="1:9">
      <c r="A13" t="s">
        <v>89</v>
      </c>
      <c r="B13" s="2">
        <v>46058</v>
      </c>
      <c r="C13" t="s">
        <v>41</v>
      </c>
      <c r="D13" t="s">
        <v>70</v>
      </c>
      <c r="E13" t="s">
        <v>68</v>
      </c>
      <c r="F13" t="s">
        <v>27</v>
      </c>
      <c r="G13">
        <v>20</v>
      </c>
      <c r="H13" s="3">
        <v>1800</v>
      </c>
      <c r="I13" s="4">
        <v>0.06</v>
      </c>
    </row>
    <row r="14" spans="1:9">
      <c r="A14" t="s">
        <v>90</v>
      </c>
      <c r="B14" s="2">
        <v>46061</v>
      </c>
      <c r="C14" t="s">
        <v>43</v>
      </c>
      <c r="D14" t="s">
        <v>67</v>
      </c>
      <c r="E14" t="s">
        <v>68</v>
      </c>
      <c r="F14" t="s">
        <v>7</v>
      </c>
      <c r="G14">
        <v>10</v>
      </c>
      <c r="H14" s="3">
        <v>1250</v>
      </c>
      <c r="I14" s="4">
        <v>0.05</v>
      </c>
    </row>
    <row r="15" spans="1:9">
      <c r="A15" t="s">
        <v>91</v>
      </c>
      <c r="B15" s="2">
        <v>46064</v>
      </c>
      <c r="C15" t="s">
        <v>45</v>
      </c>
      <c r="D15" t="s">
        <v>75</v>
      </c>
      <c r="E15" t="s">
        <v>68</v>
      </c>
      <c r="F15" t="s">
        <v>16</v>
      </c>
      <c r="G15">
        <v>8</v>
      </c>
      <c r="H15" s="3">
        <v>14500</v>
      </c>
      <c r="I15" s="4">
        <v>0.15</v>
      </c>
    </row>
    <row r="16" spans="1:9">
      <c r="A16" t="s">
        <v>92</v>
      </c>
      <c r="B16" s="2">
        <v>46067</v>
      </c>
      <c r="C16" t="s">
        <v>47</v>
      </c>
      <c r="D16" t="s">
        <v>77</v>
      </c>
      <c r="E16" t="s">
        <v>73</v>
      </c>
      <c r="F16" t="s">
        <v>12</v>
      </c>
      <c r="G16">
        <v>3</v>
      </c>
      <c r="H16" s="3">
        <v>12000</v>
      </c>
      <c r="I16" s="4">
        <v>0.05</v>
      </c>
    </row>
    <row r="17" spans="1:9">
      <c r="A17" t="s">
        <v>93</v>
      </c>
      <c r="B17" s="2">
        <v>46070</v>
      </c>
      <c r="C17" t="s">
        <v>49</v>
      </c>
      <c r="D17" t="s">
        <v>79</v>
      </c>
      <c r="E17" t="s">
        <v>68</v>
      </c>
      <c r="F17" t="s">
        <v>27</v>
      </c>
      <c r="G17">
        <v>30</v>
      </c>
      <c r="H17" s="3">
        <v>750</v>
      </c>
      <c r="I17" s="4">
        <v>0.02</v>
      </c>
    </row>
    <row r="18" spans="1:9">
      <c r="A18" t="s">
        <v>94</v>
      </c>
      <c r="B18" s="2">
        <v>46073</v>
      </c>
      <c r="C18" t="s">
        <v>51</v>
      </c>
      <c r="D18" t="s">
        <v>81</v>
      </c>
      <c r="E18" t="s">
        <v>68</v>
      </c>
      <c r="F18" t="s">
        <v>7</v>
      </c>
      <c r="G18">
        <v>9</v>
      </c>
      <c r="H18" s="3">
        <v>3200</v>
      </c>
      <c r="I18" s="4">
        <v>7.0000000000000007E-2</v>
      </c>
    </row>
    <row r="19" spans="1:9">
      <c r="A19" t="s">
        <v>95</v>
      </c>
      <c r="B19" s="2">
        <v>46076</v>
      </c>
      <c r="C19" t="s">
        <v>53</v>
      </c>
      <c r="D19" t="s">
        <v>85</v>
      </c>
      <c r="E19" t="s">
        <v>68</v>
      </c>
      <c r="F19" t="s">
        <v>16</v>
      </c>
      <c r="G19">
        <v>6</v>
      </c>
      <c r="H19" s="3">
        <v>9800</v>
      </c>
      <c r="I19" s="4">
        <v>0.1</v>
      </c>
    </row>
    <row r="20" spans="1:9">
      <c r="A20" t="s">
        <v>96</v>
      </c>
      <c r="B20" s="2">
        <v>46078</v>
      </c>
      <c r="C20" t="s">
        <v>55</v>
      </c>
      <c r="D20" t="s">
        <v>83</v>
      </c>
      <c r="E20" t="s">
        <v>68</v>
      </c>
      <c r="F20" t="s">
        <v>12</v>
      </c>
      <c r="G20">
        <v>16</v>
      </c>
      <c r="H20" s="3">
        <v>2100</v>
      </c>
      <c r="I20" s="4">
        <v>0.05</v>
      </c>
    </row>
    <row r="21" spans="1:9">
      <c r="A21" t="s">
        <v>97</v>
      </c>
      <c r="B21" s="2">
        <v>46080</v>
      </c>
      <c r="C21" t="s">
        <v>57</v>
      </c>
      <c r="D21" t="s">
        <v>87</v>
      </c>
      <c r="E21" t="s">
        <v>73</v>
      </c>
      <c r="F21" t="s">
        <v>27</v>
      </c>
      <c r="G21">
        <v>11</v>
      </c>
      <c r="H21" s="3">
        <v>1650</v>
      </c>
      <c r="I21" s="4">
        <v>0.03</v>
      </c>
    </row>
    <row r="22" spans="1:9">
      <c r="A22" t="s">
        <v>98</v>
      </c>
      <c r="B22" s="2">
        <v>46083</v>
      </c>
      <c r="C22" t="s">
        <v>5</v>
      </c>
      <c r="D22" t="s">
        <v>75</v>
      </c>
      <c r="E22" t="s">
        <v>68</v>
      </c>
      <c r="F22" t="s">
        <v>7</v>
      </c>
      <c r="G22">
        <v>7</v>
      </c>
      <c r="H22" s="3">
        <v>14500</v>
      </c>
      <c r="I22" s="4">
        <v>0.1</v>
      </c>
    </row>
    <row r="23" spans="1:9">
      <c r="A23" t="s">
        <v>99</v>
      </c>
      <c r="B23" s="2">
        <v>46086</v>
      </c>
      <c r="C23" t="s">
        <v>14</v>
      </c>
      <c r="D23" t="s">
        <v>72</v>
      </c>
      <c r="E23" t="s">
        <v>73</v>
      </c>
      <c r="F23" t="s">
        <v>16</v>
      </c>
      <c r="G23">
        <v>5</v>
      </c>
      <c r="H23" s="3">
        <v>7200</v>
      </c>
      <c r="I23" s="4">
        <v>0.08</v>
      </c>
    </row>
    <row r="24" spans="1:9">
      <c r="A24" t="s">
        <v>100</v>
      </c>
      <c r="B24" s="2">
        <v>46089</v>
      </c>
      <c r="C24" t="s">
        <v>10</v>
      </c>
      <c r="D24" t="s">
        <v>70</v>
      </c>
      <c r="E24" t="s">
        <v>68</v>
      </c>
      <c r="F24" t="s">
        <v>12</v>
      </c>
      <c r="G24">
        <v>22</v>
      </c>
      <c r="H24" s="3">
        <v>1800</v>
      </c>
      <c r="I24" s="4">
        <v>0.05</v>
      </c>
    </row>
    <row r="25" spans="1:9">
      <c r="A25" t="s">
        <v>101</v>
      </c>
      <c r="B25" s="2">
        <v>46092</v>
      </c>
      <c r="C25" t="s">
        <v>22</v>
      </c>
      <c r="D25" t="s">
        <v>67</v>
      </c>
      <c r="E25" t="s">
        <v>68</v>
      </c>
      <c r="F25" t="s">
        <v>12</v>
      </c>
      <c r="G25">
        <v>13</v>
      </c>
      <c r="H25" s="3">
        <v>1250</v>
      </c>
      <c r="I25" s="4">
        <v>0.04</v>
      </c>
    </row>
    <row r="26" spans="1:9">
      <c r="A26" t="s">
        <v>102</v>
      </c>
      <c r="B26" s="2">
        <v>46095</v>
      </c>
      <c r="C26" t="s">
        <v>19</v>
      </c>
      <c r="D26" t="s">
        <v>85</v>
      </c>
      <c r="E26" t="s">
        <v>68</v>
      </c>
      <c r="F26" t="s">
        <v>7</v>
      </c>
      <c r="G26">
        <v>4</v>
      </c>
      <c r="H26" s="3">
        <v>9800</v>
      </c>
      <c r="I26" s="4">
        <v>0.09</v>
      </c>
    </row>
    <row r="27" spans="1:9">
      <c r="A27" t="s">
        <v>103</v>
      </c>
      <c r="B27" s="2">
        <v>46098</v>
      </c>
      <c r="C27" t="s">
        <v>25</v>
      </c>
      <c r="D27" t="s">
        <v>87</v>
      </c>
      <c r="E27" t="s">
        <v>73</v>
      </c>
      <c r="F27" t="s">
        <v>27</v>
      </c>
      <c r="G27">
        <v>17</v>
      </c>
      <c r="H27" s="3">
        <v>1650</v>
      </c>
      <c r="I27" s="4">
        <v>0.03</v>
      </c>
    </row>
    <row r="28" spans="1:9">
      <c r="A28" t="s">
        <v>104</v>
      </c>
      <c r="B28" s="2">
        <v>46101</v>
      </c>
      <c r="C28" t="s">
        <v>29</v>
      </c>
      <c r="D28" t="s">
        <v>79</v>
      </c>
      <c r="E28" t="s">
        <v>68</v>
      </c>
      <c r="F28" t="s">
        <v>16</v>
      </c>
      <c r="G28">
        <v>28</v>
      </c>
      <c r="H28" s="3">
        <v>750</v>
      </c>
      <c r="I28" s="4">
        <v>0.02</v>
      </c>
    </row>
    <row r="29" spans="1:9">
      <c r="A29" t="s">
        <v>105</v>
      </c>
      <c r="B29" s="2">
        <v>46104</v>
      </c>
      <c r="C29" t="s">
        <v>32</v>
      </c>
      <c r="D29" t="s">
        <v>81</v>
      </c>
      <c r="E29" t="s">
        <v>68</v>
      </c>
      <c r="F29" t="s">
        <v>12</v>
      </c>
      <c r="G29">
        <v>10</v>
      </c>
      <c r="H29" s="3">
        <v>3200</v>
      </c>
      <c r="I29" s="4">
        <v>0.06</v>
      </c>
    </row>
    <row r="30" spans="1:9">
      <c r="A30" t="s">
        <v>106</v>
      </c>
      <c r="B30" s="2">
        <v>46107</v>
      </c>
      <c r="C30" t="s">
        <v>35</v>
      </c>
      <c r="D30" t="s">
        <v>75</v>
      </c>
      <c r="E30" t="s">
        <v>68</v>
      </c>
      <c r="F30" t="s">
        <v>7</v>
      </c>
      <c r="G30">
        <v>6</v>
      </c>
      <c r="H30" s="3">
        <v>14500</v>
      </c>
      <c r="I30" s="4">
        <v>0.11</v>
      </c>
    </row>
    <row r="31" spans="1:9">
      <c r="A31" t="s">
        <v>107</v>
      </c>
      <c r="B31" s="2">
        <v>46110</v>
      </c>
      <c r="C31" t="s">
        <v>37</v>
      </c>
      <c r="D31" t="s">
        <v>83</v>
      </c>
      <c r="E31" t="s">
        <v>68</v>
      </c>
      <c r="F31" t="s">
        <v>16</v>
      </c>
      <c r="G31">
        <v>21</v>
      </c>
      <c r="H31" s="3">
        <v>2100</v>
      </c>
      <c r="I31" s="4">
        <v>0.05</v>
      </c>
    </row>
    <row r="32" spans="1:9">
      <c r="A32" t="s">
        <v>108</v>
      </c>
      <c r="B32" s="2">
        <v>46114</v>
      </c>
      <c r="C32" t="s">
        <v>39</v>
      </c>
      <c r="D32" t="s">
        <v>85</v>
      </c>
      <c r="E32" t="s">
        <v>68</v>
      </c>
      <c r="F32" t="s">
        <v>12</v>
      </c>
      <c r="G32">
        <v>3</v>
      </c>
      <c r="H32" s="3">
        <v>9800</v>
      </c>
      <c r="I32" s="4">
        <v>0.08</v>
      </c>
    </row>
    <row r="33" spans="1:9">
      <c r="A33" t="s">
        <v>109</v>
      </c>
      <c r="B33" s="2">
        <v>46117</v>
      </c>
      <c r="C33" t="s">
        <v>41</v>
      </c>
      <c r="D33" t="s">
        <v>72</v>
      </c>
      <c r="E33" t="s">
        <v>73</v>
      </c>
      <c r="F33" t="s">
        <v>27</v>
      </c>
      <c r="G33">
        <v>8</v>
      </c>
      <c r="H33" s="3">
        <v>7200</v>
      </c>
      <c r="I33" s="4">
        <v>7.0000000000000007E-2</v>
      </c>
    </row>
    <row r="34" spans="1:9">
      <c r="A34" t="s">
        <v>110</v>
      </c>
      <c r="B34" s="2">
        <v>46120</v>
      </c>
      <c r="C34" t="s">
        <v>43</v>
      </c>
      <c r="D34" t="s">
        <v>77</v>
      </c>
      <c r="E34" t="s">
        <v>73</v>
      </c>
      <c r="F34" t="s">
        <v>7</v>
      </c>
      <c r="G34">
        <v>5</v>
      </c>
      <c r="H34" s="3">
        <v>12000</v>
      </c>
      <c r="I34" s="4">
        <v>0.05</v>
      </c>
    </row>
    <row r="35" spans="1:9">
      <c r="A35" t="s">
        <v>111</v>
      </c>
      <c r="B35" s="2">
        <v>46123</v>
      </c>
      <c r="C35" t="s">
        <v>45</v>
      </c>
      <c r="D35" t="s">
        <v>70</v>
      </c>
      <c r="E35" t="s">
        <v>68</v>
      </c>
      <c r="F35" t="s">
        <v>16</v>
      </c>
      <c r="G35">
        <v>19</v>
      </c>
      <c r="H35" s="3">
        <v>1800</v>
      </c>
      <c r="I35" s="4">
        <v>0.04</v>
      </c>
    </row>
    <row r="36" spans="1:9">
      <c r="A36" t="s">
        <v>112</v>
      </c>
      <c r="B36" s="2">
        <v>46126</v>
      </c>
      <c r="C36" t="s">
        <v>47</v>
      </c>
      <c r="D36" t="s">
        <v>79</v>
      </c>
      <c r="E36" t="s">
        <v>68</v>
      </c>
      <c r="F36" t="s">
        <v>12</v>
      </c>
      <c r="G36">
        <v>26</v>
      </c>
      <c r="H36" s="3">
        <v>750</v>
      </c>
      <c r="I36" s="4">
        <v>0.02</v>
      </c>
    </row>
    <row r="37" spans="1:9">
      <c r="A37" t="s">
        <v>113</v>
      </c>
      <c r="B37" s="2">
        <v>46129</v>
      </c>
      <c r="C37" t="s">
        <v>49</v>
      </c>
      <c r="D37" t="s">
        <v>75</v>
      </c>
      <c r="E37" t="s">
        <v>68</v>
      </c>
      <c r="F37" t="s">
        <v>27</v>
      </c>
      <c r="G37">
        <v>4</v>
      </c>
      <c r="H37" s="3">
        <v>14500</v>
      </c>
      <c r="I37" s="4">
        <v>0.1</v>
      </c>
    </row>
    <row r="38" spans="1:9">
      <c r="A38" t="s">
        <v>114</v>
      </c>
      <c r="B38" s="2">
        <v>46132</v>
      </c>
      <c r="C38" t="s">
        <v>51</v>
      </c>
      <c r="D38" t="s">
        <v>67</v>
      </c>
      <c r="E38" t="s">
        <v>68</v>
      </c>
      <c r="F38" t="s">
        <v>7</v>
      </c>
      <c r="G38">
        <v>16</v>
      </c>
      <c r="H38" s="3">
        <v>1250</v>
      </c>
      <c r="I38" s="4">
        <v>0.05</v>
      </c>
    </row>
    <row r="39" spans="1:9">
      <c r="A39" t="s">
        <v>115</v>
      </c>
      <c r="B39" s="2">
        <v>46135</v>
      </c>
      <c r="C39" t="s">
        <v>53</v>
      </c>
      <c r="D39" t="s">
        <v>87</v>
      </c>
      <c r="E39" t="s">
        <v>73</v>
      </c>
      <c r="F39" t="s">
        <v>16</v>
      </c>
      <c r="G39">
        <v>13</v>
      </c>
      <c r="H39" s="3">
        <v>1650</v>
      </c>
      <c r="I39" s="4">
        <v>0.03</v>
      </c>
    </row>
    <row r="40" spans="1:9">
      <c r="A40" t="s">
        <v>116</v>
      </c>
      <c r="B40" s="2">
        <v>46138</v>
      </c>
      <c r="C40" t="s">
        <v>55</v>
      </c>
      <c r="D40" t="s">
        <v>85</v>
      </c>
      <c r="E40" t="s">
        <v>68</v>
      </c>
      <c r="F40" t="s">
        <v>12</v>
      </c>
      <c r="G40">
        <v>5</v>
      </c>
      <c r="H40" s="3">
        <v>9800</v>
      </c>
      <c r="I40" s="4">
        <v>0.08</v>
      </c>
    </row>
    <row r="41" spans="1:9">
      <c r="A41" t="s">
        <v>117</v>
      </c>
      <c r="B41" s="2">
        <v>46141</v>
      </c>
      <c r="C41" t="s">
        <v>57</v>
      </c>
      <c r="D41" t="s">
        <v>81</v>
      </c>
      <c r="E41" t="s">
        <v>68</v>
      </c>
      <c r="F41" t="s">
        <v>27</v>
      </c>
      <c r="G41">
        <v>14</v>
      </c>
      <c r="H41" s="3">
        <v>3200</v>
      </c>
      <c r="I41" s="4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0AD4-4A67-4DD2-8F8A-FDE56DE64522}">
  <dimension ref="A1:E22"/>
  <sheetViews>
    <sheetView workbookViewId="0">
      <selection activeCell="G9" sqref="G9"/>
    </sheetView>
  </sheetViews>
  <sheetFormatPr defaultRowHeight="14.5"/>
  <sheetData>
    <row r="1" spans="1:5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7</v>
      </c>
      <c r="D5" t="s">
        <v>8</v>
      </c>
      <c r="E5" t="s">
        <v>21</v>
      </c>
    </row>
    <row r="6" spans="1:5">
      <c r="A6" t="s">
        <v>22</v>
      </c>
      <c r="B6" t="s">
        <v>23</v>
      </c>
      <c r="C6" t="s">
        <v>12</v>
      </c>
      <c r="D6" t="s">
        <v>17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>
      <c r="A8" t="s">
        <v>29</v>
      </c>
      <c r="B8" t="s">
        <v>30</v>
      </c>
      <c r="C8" t="s">
        <v>16</v>
      </c>
      <c r="D8" t="s">
        <v>8</v>
      </c>
      <c r="E8" t="s">
        <v>31</v>
      </c>
    </row>
    <row r="9" spans="1:5">
      <c r="A9" t="s">
        <v>32</v>
      </c>
      <c r="B9" t="s">
        <v>33</v>
      </c>
      <c r="C9" t="s">
        <v>12</v>
      </c>
      <c r="D9" t="s">
        <v>34</v>
      </c>
      <c r="E9" t="s">
        <v>13</v>
      </c>
    </row>
    <row r="10" spans="1:5">
      <c r="A10" t="s">
        <v>35</v>
      </c>
      <c r="B10" t="s">
        <v>36</v>
      </c>
      <c r="C10" t="s">
        <v>7</v>
      </c>
      <c r="D10" t="s">
        <v>17</v>
      </c>
      <c r="E10" t="s">
        <v>21</v>
      </c>
    </row>
    <row r="11" spans="1:5">
      <c r="A11" t="s">
        <v>37</v>
      </c>
      <c r="B11" t="s">
        <v>38</v>
      </c>
      <c r="C11" t="s">
        <v>16</v>
      </c>
      <c r="D11" t="s">
        <v>8</v>
      </c>
      <c r="E11" t="s">
        <v>31</v>
      </c>
    </row>
    <row r="12" spans="1:5">
      <c r="A12" t="s">
        <v>39</v>
      </c>
      <c r="B12" t="s">
        <v>40</v>
      </c>
      <c r="C12" t="s">
        <v>12</v>
      </c>
      <c r="D12" t="s">
        <v>17</v>
      </c>
      <c r="E12" t="s">
        <v>9</v>
      </c>
    </row>
    <row r="13" spans="1:5">
      <c r="A13" t="s">
        <v>41</v>
      </c>
      <c r="B13" t="s">
        <v>42</v>
      </c>
      <c r="C13" t="s">
        <v>27</v>
      </c>
      <c r="D13" t="s">
        <v>8</v>
      </c>
      <c r="E13" t="s">
        <v>28</v>
      </c>
    </row>
    <row r="14" spans="1:5">
      <c r="A14" t="s">
        <v>43</v>
      </c>
      <c r="B14" t="s">
        <v>44</v>
      </c>
      <c r="C14" t="s">
        <v>7</v>
      </c>
      <c r="D14" t="s">
        <v>8</v>
      </c>
      <c r="E14" t="s">
        <v>21</v>
      </c>
    </row>
    <row r="15" spans="1:5">
      <c r="A15" t="s">
        <v>45</v>
      </c>
      <c r="B15" t="s">
        <v>46</v>
      </c>
      <c r="C15" t="s">
        <v>16</v>
      </c>
      <c r="D15" t="s">
        <v>17</v>
      </c>
      <c r="E15" t="s">
        <v>18</v>
      </c>
    </row>
    <row r="16" spans="1:5">
      <c r="A16" t="s">
        <v>47</v>
      </c>
      <c r="B16" t="s">
        <v>48</v>
      </c>
      <c r="C16" t="s">
        <v>12</v>
      </c>
      <c r="D16" t="s">
        <v>34</v>
      </c>
      <c r="E16" t="s">
        <v>24</v>
      </c>
    </row>
    <row r="17" spans="1:5">
      <c r="A17" t="s">
        <v>49</v>
      </c>
      <c r="B17" t="s">
        <v>50</v>
      </c>
      <c r="C17" t="s">
        <v>27</v>
      </c>
      <c r="D17" t="s">
        <v>8</v>
      </c>
      <c r="E17" t="s">
        <v>28</v>
      </c>
    </row>
    <row r="18" spans="1:5">
      <c r="A18" t="s">
        <v>51</v>
      </c>
      <c r="B18" t="s">
        <v>52</v>
      </c>
      <c r="C18" t="s">
        <v>7</v>
      </c>
      <c r="D18" t="s">
        <v>8</v>
      </c>
      <c r="E18" t="s">
        <v>9</v>
      </c>
    </row>
    <row r="19" spans="1:5">
      <c r="A19" t="s">
        <v>53</v>
      </c>
      <c r="B19" t="s">
        <v>54</v>
      </c>
      <c r="C19" t="s">
        <v>16</v>
      </c>
      <c r="D19" t="s">
        <v>17</v>
      </c>
      <c r="E19" t="s">
        <v>31</v>
      </c>
    </row>
    <row r="20" spans="1:5">
      <c r="A20" t="s">
        <v>55</v>
      </c>
      <c r="B20" t="s">
        <v>56</v>
      </c>
      <c r="C20" t="s">
        <v>12</v>
      </c>
      <c r="D20" t="s">
        <v>8</v>
      </c>
      <c r="E20" t="s">
        <v>13</v>
      </c>
    </row>
    <row r="21" spans="1:5">
      <c r="A21" t="s">
        <v>57</v>
      </c>
      <c r="B21" t="s">
        <v>58</v>
      </c>
      <c r="C21" t="s">
        <v>27</v>
      </c>
      <c r="D21" t="s">
        <v>17</v>
      </c>
      <c r="E21" t="s">
        <v>28</v>
      </c>
    </row>
    <row r="22" spans="1:5">
      <c r="A22" t="s">
        <v>57</v>
      </c>
      <c r="B22" t="s">
        <v>58</v>
      </c>
      <c r="C22" t="s">
        <v>27</v>
      </c>
      <c r="D22" t="s">
        <v>17</v>
      </c>
      <c r="E2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EB38-83FA-4E32-9EDD-5E77F5342AFA}">
  <dimension ref="A1:I41"/>
  <sheetViews>
    <sheetView workbookViewId="0">
      <selection sqref="A1:I41"/>
    </sheetView>
  </sheetViews>
  <sheetFormatPr defaultRowHeight="14.5"/>
  <cols>
    <col min="2" max="2" width="15.453125" customWidth="1"/>
    <col min="4" max="4" width="12.26953125" customWidth="1"/>
    <col min="5" max="5" width="15.7265625" customWidth="1"/>
  </cols>
  <sheetData>
    <row r="1" spans="1:9" ht="29">
      <c r="A1" s="1" t="s">
        <v>59</v>
      </c>
      <c r="B1" s="1" t="s">
        <v>60</v>
      </c>
      <c r="C1" s="1" t="s">
        <v>0</v>
      </c>
      <c r="D1" s="1" t="s">
        <v>61</v>
      </c>
      <c r="E1" s="1" t="s">
        <v>62</v>
      </c>
      <c r="F1" s="1" t="s">
        <v>2</v>
      </c>
      <c r="G1" s="1" t="s">
        <v>63</v>
      </c>
      <c r="H1" s="1" t="s">
        <v>64</v>
      </c>
      <c r="I1" s="1" t="s">
        <v>65</v>
      </c>
    </row>
    <row r="2" spans="1:9">
      <c r="A2" t="s">
        <v>66</v>
      </c>
      <c r="B2" s="2">
        <v>46027</v>
      </c>
      <c r="C2" t="s">
        <v>5</v>
      </c>
      <c r="D2" t="s">
        <v>67</v>
      </c>
      <c r="E2" t="s">
        <v>68</v>
      </c>
      <c r="F2" t="s">
        <v>7</v>
      </c>
      <c r="G2">
        <v>8</v>
      </c>
      <c r="H2" s="3">
        <v>1250</v>
      </c>
      <c r="I2" s="4">
        <v>0.05</v>
      </c>
    </row>
    <row r="3" spans="1:9">
      <c r="A3" t="s">
        <v>69</v>
      </c>
      <c r="B3" s="2">
        <v>46029</v>
      </c>
      <c r="C3" t="s">
        <v>14</v>
      </c>
      <c r="D3" t="s">
        <v>70</v>
      </c>
      <c r="E3" t="s">
        <v>68</v>
      </c>
      <c r="F3" t="s">
        <v>16</v>
      </c>
      <c r="G3">
        <v>15</v>
      </c>
      <c r="H3" s="3">
        <v>1800</v>
      </c>
      <c r="I3" s="4">
        <v>0.1</v>
      </c>
    </row>
    <row r="4" spans="1:9">
      <c r="A4" t="s">
        <v>71</v>
      </c>
      <c r="B4" s="2">
        <v>46031</v>
      </c>
      <c r="C4" t="s">
        <v>10</v>
      </c>
      <c r="D4" t="s">
        <v>72</v>
      </c>
      <c r="E4" t="s">
        <v>73</v>
      </c>
      <c r="F4" t="s">
        <v>12</v>
      </c>
      <c r="G4">
        <v>6</v>
      </c>
      <c r="H4" s="3">
        <v>7200</v>
      </c>
      <c r="I4" s="4">
        <v>0.08</v>
      </c>
    </row>
    <row r="5" spans="1:9">
      <c r="A5" t="s">
        <v>74</v>
      </c>
      <c r="B5" s="2">
        <v>46034</v>
      </c>
      <c r="C5" t="s">
        <v>22</v>
      </c>
      <c r="D5" t="s">
        <v>75</v>
      </c>
      <c r="E5" t="s">
        <v>68</v>
      </c>
      <c r="F5" t="s">
        <v>12</v>
      </c>
      <c r="G5">
        <v>9</v>
      </c>
      <c r="H5" s="3">
        <v>14500</v>
      </c>
      <c r="I5" s="4">
        <v>0.12</v>
      </c>
    </row>
    <row r="6" spans="1:9">
      <c r="A6" t="s">
        <v>76</v>
      </c>
      <c r="B6" s="2">
        <v>46037</v>
      </c>
      <c r="C6" t="s">
        <v>19</v>
      </c>
      <c r="D6" t="s">
        <v>77</v>
      </c>
      <c r="E6" t="s">
        <v>73</v>
      </c>
      <c r="F6" t="s">
        <v>7</v>
      </c>
      <c r="G6">
        <v>4</v>
      </c>
      <c r="H6" s="3">
        <v>12000</v>
      </c>
      <c r="I6" s="4">
        <v>0.05</v>
      </c>
    </row>
    <row r="7" spans="1:9">
      <c r="A7" t="s">
        <v>78</v>
      </c>
      <c r="B7" s="2">
        <v>46040</v>
      </c>
      <c r="C7" t="s">
        <v>25</v>
      </c>
      <c r="D7" t="s">
        <v>79</v>
      </c>
      <c r="E7" t="s">
        <v>68</v>
      </c>
      <c r="F7" t="s">
        <v>27</v>
      </c>
      <c r="G7">
        <v>25</v>
      </c>
      <c r="H7" s="3">
        <v>750</v>
      </c>
      <c r="I7" s="4">
        <v>0</v>
      </c>
    </row>
    <row r="8" spans="1:9">
      <c r="A8" t="s">
        <v>80</v>
      </c>
      <c r="B8" s="2">
        <v>46042</v>
      </c>
      <c r="C8" t="s">
        <v>29</v>
      </c>
      <c r="D8" t="s">
        <v>81</v>
      </c>
      <c r="E8" t="s">
        <v>68</v>
      </c>
      <c r="F8" t="s">
        <v>16</v>
      </c>
      <c r="G8">
        <v>12</v>
      </c>
      <c r="H8" s="3">
        <v>3200</v>
      </c>
      <c r="I8" s="4">
        <v>7.0000000000000007E-2</v>
      </c>
    </row>
    <row r="9" spans="1:9">
      <c r="A9" t="s">
        <v>82</v>
      </c>
      <c r="B9" s="2">
        <v>46045</v>
      </c>
      <c r="C9" t="s">
        <v>32</v>
      </c>
      <c r="D9" t="s">
        <v>83</v>
      </c>
      <c r="E9" t="s">
        <v>68</v>
      </c>
      <c r="F9" t="s">
        <v>12</v>
      </c>
      <c r="G9">
        <v>18</v>
      </c>
      <c r="H9" s="3">
        <v>2100</v>
      </c>
      <c r="I9" s="4">
        <v>0.05</v>
      </c>
    </row>
    <row r="10" spans="1:9">
      <c r="A10" t="s">
        <v>84</v>
      </c>
      <c r="B10" s="2">
        <v>46048</v>
      </c>
      <c r="C10" t="s">
        <v>35</v>
      </c>
      <c r="D10" t="s">
        <v>85</v>
      </c>
      <c r="E10" t="s">
        <v>68</v>
      </c>
      <c r="F10" t="s">
        <v>7</v>
      </c>
      <c r="G10">
        <v>5</v>
      </c>
      <c r="H10" s="3">
        <v>9800</v>
      </c>
      <c r="I10" s="4">
        <v>0.1</v>
      </c>
    </row>
    <row r="11" spans="1:9">
      <c r="A11" t="s">
        <v>86</v>
      </c>
      <c r="B11" s="2">
        <v>46050</v>
      </c>
      <c r="C11" t="s">
        <v>37</v>
      </c>
      <c r="D11" t="s">
        <v>87</v>
      </c>
      <c r="E11" t="s">
        <v>73</v>
      </c>
      <c r="F11" t="s">
        <v>16</v>
      </c>
      <c r="G11">
        <v>14</v>
      </c>
      <c r="H11" s="3">
        <v>1650</v>
      </c>
      <c r="I11" s="4">
        <v>0.03</v>
      </c>
    </row>
    <row r="12" spans="1:9">
      <c r="A12" t="s">
        <v>88</v>
      </c>
      <c r="B12" s="2">
        <v>46055</v>
      </c>
      <c r="C12" t="s">
        <v>39</v>
      </c>
      <c r="D12" t="s">
        <v>72</v>
      </c>
      <c r="E12" t="s">
        <v>73</v>
      </c>
      <c r="F12" t="s">
        <v>12</v>
      </c>
      <c r="G12">
        <v>7</v>
      </c>
      <c r="H12" s="3">
        <v>7200</v>
      </c>
      <c r="I12" s="4">
        <v>0.08</v>
      </c>
    </row>
    <row r="13" spans="1:9">
      <c r="A13" t="s">
        <v>89</v>
      </c>
      <c r="B13" s="2">
        <v>46058</v>
      </c>
      <c r="C13" t="s">
        <v>41</v>
      </c>
      <c r="D13" t="s">
        <v>70</v>
      </c>
      <c r="E13" t="s">
        <v>68</v>
      </c>
      <c r="F13" t="s">
        <v>27</v>
      </c>
      <c r="G13">
        <v>20</v>
      </c>
      <c r="H13" s="3">
        <v>1800</v>
      </c>
      <c r="I13" s="4">
        <v>0.06</v>
      </c>
    </row>
    <row r="14" spans="1:9">
      <c r="A14" t="s">
        <v>90</v>
      </c>
      <c r="B14" s="2">
        <v>46061</v>
      </c>
      <c r="C14" t="s">
        <v>43</v>
      </c>
      <c r="D14" t="s">
        <v>67</v>
      </c>
      <c r="E14" t="s">
        <v>68</v>
      </c>
      <c r="F14" t="s">
        <v>7</v>
      </c>
      <c r="G14">
        <v>10</v>
      </c>
      <c r="H14" s="3">
        <v>1250</v>
      </c>
      <c r="I14" s="4">
        <v>0.05</v>
      </c>
    </row>
    <row r="15" spans="1:9">
      <c r="A15" t="s">
        <v>91</v>
      </c>
      <c r="B15" s="2">
        <v>46064</v>
      </c>
      <c r="C15" t="s">
        <v>45</v>
      </c>
      <c r="D15" t="s">
        <v>75</v>
      </c>
      <c r="E15" t="s">
        <v>68</v>
      </c>
      <c r="F15" t="s">
        <v>16</v>
      </c>
      <c r="G15">
        <v>8</v>
      </c>
      <c r="H15" s="3">
        <v>14500</v>
      </c>
      <c r="I15" s="4">
        <v>0.15</v>
      </c>
    </row>
    <row r="16" spans="1:9">
      <c r="A16" t="s">
        <v>92</v>
      </c>
      <c r="B16" s="2">
        <v>46067</v>
      </c>
      <c r="C16" t="s">
        <v>47</v>
      </c>
      <c r="D16" t="s">
        <v>77</v>
      </c>
      <c r="E16" t="s">
        <v>73</v>
      </c>
      <c r="F16" t="s">
        <v>12</v>
      </c>
      <c r="G16">
        <v>3</v>
      </c>
      <c r="H16" s="3">
        <v>12000</v>
      </c>
      <c r="I16" s="4">
        <v>0.05</v>
      </c>
    </row>
    <row r="17" spans="1:9">
      <c r="A17" t="s">
        <v>93</v>
      </c>
      <c r="B17" s="2">
        <v>46070</v>
      </c>
      <c r="C17" t="s">
        <v>49</v>
      </c>
      <c r="D17" t="s">
        <v>79</v>
      </c>
      <c r="E17" t="s">
        <v>68</v>
      </c>
      <c r="F17" t="s">
        <v>27</v>
      </c>
      <c r="G17">
        <v>30</v>
      </c>
      <c r="H17" s="3">
        <v>750</v>
      </c>
      <c r="I17" s="4">
        <v>0.02</v>
      </c>
    </row>
    <row r="18" spans="1:9">
      <c r="A18" t="s">
        <v>94</v>
      </c>
      <c r="B18" s="2">
        <v>46073</v>
      </c>
      <c r="C18" t="s">
        <v>51</v>
      </c>
      <c r="D18" t="s">
        <v>81</v>
      </c>
      <c r="E18" t="s">
        <v>68</v>
      </c>
      <c r="F18" t="s">
        <v>7</v>
      </c>
      <c r="G18">
        <v>9</v>
      </c>
      <c r="H18" s="3">
        <v>3200</v>
      </c>
      <c r="I18" s="4">
        <v>7.0000000000000007E-2</v>
      </c>
    </row>
    <row r="19" spans="1:9">
      <c r="A19" t="s">
        <v>95</v>
      </c>
      <c r="B19" s="2">
        <v>46076</v>
      </c>
      <c r="C19" t="s">
        <v>53</v>
      </c>
      <c r="D19" t="s">
        <v>85</v>
      </c>
      <c r="E19" t="s">
        <v>68</v>
      </c>
      <c r="F19" t="s">
        <v>16</v>
      </c>
      <c r="G19">
        <v>6</v>
      </c>
      <c r="H19" s="3">
        <v>9800</v>
      </c>
      <c r="I19" s="4">
        <v>0.1</v>
      </c>
    </row>
    <row r="20" spans="1:9">
      <c r="A20" t="s">
        <v>96</v>
      </c>
      <c r="B20" s="2">
        <v>46078</v>
      </c>
      <c r="C20" t="s">
        <v>55</v>
      </c>
      <c r="D20" t="s">
        <v>83</v>
      </c>
      <c r="E20" t="s">
        <v>68</v>
      </c>
      <c r="F20" t="s">
        <v>12</v>
      </c>
      <c r="G20">
        <v>16</v>
      </c>
      <c r="H20" s="3">
        <v>2100</v>
      </c>
      <c r="I20" s="4">
        <v>0.05</v>
      </c>
    </row>
    <row r="21" spans="1:9">
      <c r="A21" t="s">
        <v>97</v>
      </c>
      <c r="B21" s="2">
        <v>46080</v>
      </c>
      <c r="C21" t="s">
        <v>57</v>
      </c>
      <c r="D21" t="s">
        <v>87</v>
      </c>
      <c r="E21" t="s">
        <v>73</v>
      </c>
      <c r="F21" t="s">
        <v>27</v>
      </c>
      <c r="G21">
        <v>11</v>
      </c>
      <c r="H21" s="3">
        <v>1650</v>
      </c>
      <c r="I21" s="4">
        <v>0.03</v>
      </c>
    </row>
    <row r="22" spans="1:9">
      <c r="A22" t="s">
        <v>98</v>
      </c>
      <c r="B22" s="2">
        <v>46083</v>
      </c>
      <c r="C22" t="s">
        <v>5</v>
      </c>
      <c r="D22" t="s">
        <v>75</v>
      </c>
      <c r="E22" t="s">
        <v>68</v>
      </c>
      <c r="F22" t="s">
        <v>7</v>
      </c>
      <c r="G22">
        <v>7</v>
      </c>
      <c r="H22" s="3">
        <v>14500</v>
      </c>
      <c r="I22" s="4">
        <v>0.1</v>
      </c>
    </row>
    <row r="23" spans="1:9">
      <c r="A23" t="s">
        <v>99</v>
      </c>
      <c r="B23" s="2">
        <v>46086</v>
      </c>
      <c r="C23" t="s">
        <v>14</v>
      </c>
      <c r="D23" t="s">
        <v>72</v>
      </c>
      <c r="E23" t="s">
        <v>73</v>
      </c>
      <c r="F23" t="s">
        <v>16</v>
      </c>
      <c r="G23">
        <v>5</v>
      </c>
      <c r="H23" s="3">
        <v>7200</v>
      </c>
      <c r="I23" s="4">
        <v>0.08</v>
      </c>
    </row>
    <row r="24" spans="1:9">
      <c r="A24" t="s">
        <v>100</v>
      </c>
      <c r="B24" s="2">
        <v>46089</v>
      </c>
      <c r="C24" t="s">
        <v>10</v>
      </c>
      <c r="D24" t="s">
        <v>70</v>
      </c>
      <c r="E24" t="s">
        <v>68</v>
      </c>
      <c r="F24" t="s">
        <v>12</v>
      </c>
      <c r="G24">
        <v>22</v>
      </c>
      <c r="H24" s="3">
        <v>1800</v>
      </c>
      <c r="I24" s="4">
        <v>0.05</v>
      </c>
    </row>
    <row r="25" spans="1:9">
      <c r="A25" t="s">
        <v>101</v>
      </c>
      <c r="B25" s="2">
        <v>46092</v>
      </c>
      <c r="C25" t="s">
        <v>22</v>
      </c>
      <c r="D25" t="s">
        <v>67</v>
      </c>
      <c r="E25" t="s">
        <v>68</v>
      </c>
      <c r="F25" t="s">
        <v>12</v>
      </c>
      <c r="G25">
        <v>13</v>
      </c>
      <c r="H25" s="3">
        <v>1250</v>
      </c>
      <c r="I25" s="4">
        <v>0.04</v>
      </c>
    </row>
    <row r="26" spans="1:9">
      <c r="A26" t="s">
        <v>102</v>
      </c>
      <c r="B26" s="2">
        <v>46095</v>
      </c>
      <c r="C26" t="s">
        <v>19</v>
      </c>
      <c r="D26" t="s">
        <v>85</v>
      </c>
      <c r="E26" t="s">
        <v>68</v>
      </c>
      <c r="F26" t="s">
        <v>7</v>
      </c>
      <c r="G26">
        <v>4</v>
      </c>
      <c r="H26" s="3">
        <v>9800</v>
      </c>
      <c r="I26" s="4">
        <v>0.09</v>
      </c>
    </row>
    <row r="27" spans="1:9">
      <c r="A27" t="s">
        <v>103</v>
      </c>
      <c r="B27" s="2">
        <v>46098</v>
      </c>
      <c r="C27" t="s">
        <v>25</v>
      </c>
      <c r="D27" t="s">
        <v>87</v>
      </c>
      <c r="E27" t="s">
        <v>73</v>
      </c>
      <c r="F27" t="s">
        <v>27</v>
      </c>
      <c r="G27">
        <v>17</v>
      </c>
      <c r="H27" s="3">
        <v>1650</v>
      </c>
      <c r="I27" s="4">
        <v>0.03</v>
      </c>
    </row>
    <row r="28" spans="1:9">
      <c r="A28" t="s">
        <v>104</v>
      </c>
      <c r="B28" s="2">
        <v>46101</v>
      </c>
      <c r="C28" t="s">
        <v>29</v>
      </c>
      <c r="D28" t="s">
        <v>79</v>
      </c>
      <c r="E28" t="s">
        <v>68</v>
      </c>
      <c r="F28" t="s">
        <v>16</v>
      </c>
      <c r="G28">
        <v>28</v>
      </c>
      <c r="H28" s="3">
        <v>750</v>
      </c>
      <c r="I28" s="4">
        <v>0.02</v>
      </c>
    </row>
    <row r="29" spans="1:9">
      <c r="A29" t="s">
        <v>105</v>
      </c>
      <c r="B29" s="2">
        <v>46104</v>
      </c>
      <c r="C29" t="s">
        <v>32</v>
      </c>
      <c r="D29" t="s">
        <v>81</v>
      </c>
      <c r="E29" t="s">
        <v>68</v>
      </c>
      <c r="F29" t="s">
        <v>12</v>
      </c>
      <c r="G29">
        <v>10</v>
      </c>
      <c r="H29" s="3">
        <v>3200</v>
      </c>
      <c r="I29" s="4">
        <v>0.06</v>
      </c>
    </row>
    <row r="30" spans="1:9">
      <c r="A30" t="s">
        <v>106</v>
      </c>
      <c r="B30" s="2">
        <v>46107</v>
      </c>
      <c r="C30" t="s">
        <v>35</v>
      </c>
      <c r="D30" t="s">
        <v>75</v>
      </c>
      <c r="E30" t="s">
        <v>68</v>
      </c>
      <c r="F30" t="s">
        <v>7</v>
      </c>
      <c r="G30">
        <v>6</v>
      </c>
      <c r="H30" s="3">
        <v>14500</v>
      </c>
      <c r="I30" s="4">
        <v>0.11</v>
      </c>
    </row>
    <row r="31" spans="1:9">
      <c r="A31" t="s">
        <v>107</v>
      </c>
      <c r="B31" s="2">
        <v>46110</v>
      </c>
      <c r="C31" t="s">
        <v>37</v>
      </c>
      <c r="D31" t="s">
        <v>83</v>
      </c>
      <c r="E31" t="s">
        <v>68</v>
      </c>
      <c r="F31" t="s">
        <v>16</v>
      </c>
      <c r="G31">
        <v>21</v>
      </c>
      <c r="H31" s="3">
        <v>2100</v>
      </c>
      <c r="I31" s="4">
        <v>0.05</v>
      </c>
    </row>
    <row r="32" spans="1:9">
      <c r="A32" t="s">
        <v>108</v>
      </c>
      <c r="B32" s="2">
        <v>46114</v>
      </c>
      <c r="C32" t="s">
        <v>39</v>
      </c>
      <c r="D32" t="s">
        <v>85</v>
      </c>
      <c r="E32" t="s">
        <v>68</v>
      </c>
      <c r="F32" t="s">
        <v>12</v>
      </c>
      <c r="G32">
        <v>3</v>
      </c>
      <c r="H32" s="3">
        <v>9800</v>
      </c>
      <c r="I32" s="4">
        <v>0.08</v>
      </c>
    </row>
    <row r="33" spans="1:9">
      <c r="A33" t="s">
        <v>109</v>
      </c>
      <c r="B33" s="2">
        <v>46117</v>
      </c>
      <c r="C33" t="s">
        <v>41</v>
      </c>
      <c r="D33" t="s">
        <v>72</v>
      </c>
      <c r="E33" t="s">
        <v>73</v>
      </c>
      <c r="F33" t="s">
        <v>27</v>
      </c>
      <c r="G33">
        <v>8</v>
      </c>
      <c r="H33" s="3">
        <v>7200</v>
      </c>
      <c r="I33" s="4">
        <v>7.0000000000000007E-2</v>
      </c>
    </row>
    <row r="34" spans="1:9">
      <c r="A34" t="s">
        <v>110</v>
      </c>
      <c r="B34" s="2">
        <v>46120</v>
      </c>
      <c r="C34" t="s">
        <v>43</v>
      </c>
      <c r="D34" t="s">
        <v>77</v>
      </c>
      <c r="E34" t="s">
        <v>73</v>
      </c>
      <c r="F34" t="s">
        <v>7</v>
      </c>
      <c r="G34">
        <v>5</v>
      </c>
      <c r="H34" s="3">
        <v>12000</v>
      </c>
      <c r="I34" s="4">
        <v>0.05</v>
      </c>
    </row>
    <row r="35" spans="1:9">
      <c r="A35" t="s">
        <v>111</v>
      </c>
      <c r="B35" s="2">
        <v>46123</v>
      </c>
      <c r="C35" t="s">
        <v>45</v>
      </c>
      <c r="D35" t="s">
        <v>70</v>
      </c>
      <c r="E35" t="s">
        <v>68</v>
      </c>
      <c r="F35" t="s">
        <v>16</v>
      </c>
      <c r="G35">
        <v>19</v>
      </c>
      <c r="H35" s="3">
        <v>1800</v>
      </c>
      <c r="I35" s="4">
        <v>0.04</v>
      </c>
    </row>
    <row r="36" spans="1:9">
      <c r="A36" t="s">
        <v>112</v>
      </c>
      <c r="B36" s="2">
        <v>46126</v>
      </c>
      <c r="C36" t="s">
        <v>47</v>
      </c>
      <c r="D36" t="s">
        <v>79</v>
      </c>
      <c r="E36" t="s">
        <v>68</v>
      </c>
      <c r="F36" t="s">
        <v>12</v>
      </c>
      <c r="G36">
        <v>26</v>
      </c>
      <c r="H36" s="3">
        <v>750</v>
      </c>
      <c r="I36" s="4">
        <v>0.02</v>
      </c>
    </row>
    <row r="37" spans="1:9">
      <c r="A37" t="s">
        <v>113</v>
      </c>
      <c r="B37" s="2">
        <v>46129</v>
      </c>
      <c r="C37" t="s">
        <v>49</v>
      </c>
      <c r="D37" t="s">
        <v>75</v>
      </c>
      <c r="E37" t="s">
        <v>68</v>
      </c>
      <c r="F37" t="s">
        <v>27</v>
      </c>
      <c r="G37">
        <v>4</v>
      </c>
      <c r="H37" s="3">
        <v>14500</v>
      </c>
      <c r="I37" s="4">
        <v>0.1</v>
      </c>
    </row>
    <row r="38" spans="1:9">
      <c r="A38" t="s">
        <v>114</v>
      </c>
      <c r="B38" s="2">
        <v>46132</v>
      </c>
      <c r="C38" t="s">
        <v>51</v>
      </c>
      <c r="D38" t="s">
        <v>67</v>
      </c>
      <c r="E38" t="s">
        <v>68</v>
      </c>
      <c r="F38" t="s">
        <v>7</v>
      </c>
      <c r="G38">
        <v>16</v>
      </c>
      <c r="H38" s="3">
        <v>1250</v>
      </c>
      <c r="I38" s="4">
        <v>0.05</v>
      </c>
    </row>
    <row r="39" spans="1:9">
      <c r="A39" t="s">
        <v>115</v>
      </c>
      <c r="B39" s="2">
        <v>46135</v>
      </c>
      <c r="C39" t="s">
        <v>53</v>
      </c>
      <c r="D39" t="s">
        <v>87</v>
      </c>
      <c r="E39" t="s">
        <v>73</v>
      </c>
      <c r="F39" t="s">
        <v>16</v>
      </c>
      <c r="G39">
        <v>13</v>
      </c>
      <c r="H39" s="3">
        <v>1650</v>
      </c>
      <c r="I39" s="4">
        <v>0.03</v>
      </c>
    </row>
    <row r="40" spans="1:9">
      <c r="A40" t="s">
        <v>116</v>
      </c>
      <c r="B40" s="2">
        <v>46138</v>
      </c>
      <c r="C40" t="s">
        <v>55</v>
      </c>
      <c r="D40" t="s">
        <v>85</v>
      </c>
      <c r="E40" t="s">
        <v>68</v>
      </c>
      <c r="F40" t="s">
        <v>12</v>
      </c>
      <c r="G40">
        <v>5</v>
      </c>
      <c r="H40" s="3">
        <v>9800</v>
      </c>
      <c r="I40" s="4">
        <v>0.08</v>
      </c>
    </row>
    <row r="41" spans="1:9">
      <c r="A41" t="s">
        <v>117</v>
      </c>
      <c r="B41" s="2">
        <v>46141</v>
      </c>
      <c r="C41" t="s">
        <v>57</v>
      </c>
      <c r="D41" t="s">
        <v>81</v>
      </c>
      <c r="E41" t="s">
        <v>68</v>
      </c>
      <c r="F41" t="s">
        <v>27</v>
      </c>
      <c r="G41">
        <v>14</v>
      </c>
      <c r="H41" s="3">
        <v>3200</v>
      </c>
      <c r="I41" s="4">
        <v>0.06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1ACB-BE61-4649-B5C0-401BB76570DD}">
  <dimension ref="A1:B24"/>
  <sheetViews>
    <sheetView topLeftCell="B1" workbookViewId="0">
      <pane ySplit="1" topLeftCell="A2" activePane="bottomLeft" state="frozen"/>
      <selection activeCell="I18" sqref="I18"/>
      <selection pane="bottomLeft" activeCell="B8" sqref="B8"/>
    </sheetView>
  </sheetViews>
  <sheetFormatPr defaultRowHeight="14.5"/>
  <cols>
    <col min="1" max="1" width="10" customWidth="1"/>
    <col min="2" max="2" width="110" customWidth="1"/>
  </cols>
  <sheetData>
    <row r="1" spans="1:2">
      <c r="A1" s="1" t="s">
        <v>118</v>
      </c>
      <c r="B1" s="1" t="s">
        <v>119</v>
      </c>
    </row>
    <row r="2" spans="1:2">
      <c r="A2">
        <v>1</v>
      </c>
      <c r="B2" t="s">
        <v>120</v>
      </c>
    </row>
    <row r="3" spans="1:2">
      <c r="A3">
        <v>2</v>
      </c>
      <c r="B3" t="s">
        <v>121</v>
      </c>
    </row>
    <row r="4" spans="1:2">
      <c r="A4">
        <v>3</v>
      </c>
      <c r="B4" t="s">
        <v>122</v>
      </c>
    </row>
    <row r="5" spans="1:2">
      <c r="A5">
        <v>4</v>
      </c>
      <c r="B5" t="s">
        <v>123</v>
      </c>
    </row>
    <row r="6" spans="1:2">
      <c r="A6">
        <v>5</v>
      </c>
      <c r="B6" t="s">
        <v>124</v>
      </c>
    </row>
    <row r="7" spans="1:2">
      <c r="A7">
        <v>6</v>
      </c>
      <c r="B7" t="s">
        <v>125</v>
      </c>
    </row>
    <row r="8" spans="1:2">
      <c r="A8">
        <v>7</v>
      </c>
      <c r="B8" t="s">
        <v>126</v>
      </c>
    </row>
    <row r="9" spans="1:2">
      <c r="A9">
        <v>8</v>
      </c>
      <c r="B9" t="s">
        <v>127</v>
      </c>
    </row>
    <row r="10" spans="1:2">
      <c r="A10">
        <v>9</v>
      </c>
      <c r="B10" t="s">
        <v>128</v>
      </c>
    </row>
    <row r="11" spans="1:2">
      <c r="A11">
        <v>10</v>
      </c>
      <c r="B11" t="s">
        <v>129</v>
      </c>
    </row>
    <row r="12" spans="1:2">
      <c r="A12">
        <v>12</v>
      </c>
      <c r="B12" t="s">
        <v>130</v>
      </c>
    </row>
    <row r="13" spans="1:2">
      <c r="A13">
        <v>13</v>
      </c>
      <c r="B13" t="s">
        <v>131</v>
      </c>
    </row>
    <row r="14" spans="1:2">
      <c r="A14">
        <v>14</v>
      </c>
      <c r="B14" t="s">
        <v>132</v>
      </c>
    </row>
    <row r="15" spans="1:2">
      <c r="A15">
        <v>15</v>
      </c>
      <c r="B15" t="s">
        <v>133</v>
      </c>
    </row>
    <row r="16" spans="1:2">
      <c r="A16">
        <v>16</v>
      </c>
      <c r="B16" t="s">
        <v>134</v>
      </c>
    </row>
    <row r="17" spans="1:2">
      <c r="A17">
        <v>17</v>
      </c>
      <c r="B17" t="s">
        <v>135</v>
      </c>
    </row>
    <row r="18" spans="1:2">
      <c r="A18">
        <v>18</v>
      </c>
      <c r="B18" t="s">
        <v>136</v>
      </c>
    </row>
    <row r="19" spans="1:2">
      <c r="A19">
        <v>19</v>
      </c>
      <c r="B19" t="s">
        <v>137</v>
      </c>
    </row>
    <row r="20" spans="1:2">
      <c r="A20">
        <v>20</v>
      </c>
      <c r="B20" t="s">
        <v>138</v>
      </c>
    </row>
    <row r="21" spans="1:2">
      <c r="A21">
        <v>21</v>
      </c>
      <c r="B21" t="s">
        <v>139</v>
      </c>
    </row>
    <row r="22" spans="1:2">
      <c r="A22">
        <v>22</v>
      </c>
      <c r="B22" t="s">
        <v>140</v>
      </c>
    </row>
    <row r="23" spans="1:2">
      <c r="A23">
        <v>23</v>
      </c>
      <c r="B23" t="s">
        <v>141</v>
      </c>
    </row>
    <row r="24" spans="1:2">
      <c r="A24">
        <v>24</v>
      </c>
      <c r="B24" t="s">
        <v>184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F856-37C0-4002-872C-0440D2B56410}">
  <dimension ref="A1:V41"/>
  <sheetViews>
    <sheetView topLeftCell="A2" workbookViewId="0">
      <selection activeCell="F16" sqref="F16"/>
    </sheetView>
  </sheetViews>
  <sheetFormatPr defaultRowHeight="14.5"/>
  <cols>
    <col min="2" max="2" width="11.54296875" bestFit="1" customWidth="1"/>
    <col min="10" max="10" width="13.6328125" customWidth="1"/>
    <col min="12" max="12" width="14.36328125" bestFit="1" customWidth="1"/>
    <col min="13" max="13" width="10" customWidth="1"/>
  </cols>
  <sheetData>
    <row r="1" spans="1:22" ht="29">
      <c r="A1" s="1" t="s">
        <v>59</v>
      </c>
      <c r="B1" s="1" t="s">
        <v>60</v>
      </c>
      <c r="C1" s="1" t="s">
        <v>0</v>
      </c>
      <c r="D1" s="1" t="s">
        <v>61</v>
      </c>
      <c r="E1" s="1" t="s">
        <v>62</v>
      </c>
      <c r="F1" s="1" t="s">
        <v>2</v>
      </c>
      <c r="G1" s="1" t="s">
        <v>63</v>
      </c>
      <c r="H1" s="1" t="s">
        <v>64</v>
      </c>
      <c r="I1" s="1" t="s">
        <v>65</v>
      </c>
      <c r="J1" s="1" t="s">
        <v>142</v>
      </c>
      <c r="K1" s="1" t="s">
        <v>143</v>
      </c>
      <c r="L1" s="1" t="s">
        <v>148</v>
      </c>
      <c r="M1" s="1" t="s">
        <v>149</v>
      </c>
    </row>
    <row r="2" spans="1:22">
      <c r="A2" t="s">
        <v>66</v>
      </c>
      <c r="B2" s="2">
        <v>46027</v>
      </c>
      <c r="C2" t="s">
        <v>5</v>
      </c>
      <c r="D2" t="s">
        <v>67</v>
      </c>
      <c r="E2" t="s">
        <v>68</v>
      </c>
      <c r="F2" t="s">
        <v>7</v>
      </c>
      <c r="G2">
        <v>8</v>
      </c>
      <c r="H2" s="3">
        <v>1250</v>
      </c>
      <c r="I2" s="4">
        <v>0.05</v>
      </c>
      <c r="J2">
        <f>(G2*H2)*(1-I2)</f>
        <v>9500</v>
      </c>
      <c r="K2">
        <f>G2*H2*I2</f>
        <v>500</v>
      </c>
      <c r="L2" t="str">
        <f>VLOOKUP(C2,customers_copy!$A$1:$E$22,2,0)</f>
        <v>Aarav Retail</v>
      </c>
      <c r="M2" t="str">
        <f>VLOOKUP(C2,customers_copy!$A$1:$E$22,4,0)</f>
        <v>Retail</v>
      </c>
    </row>
    <row r="3" spans="1:22">
      <c r="A3" t="s">
        <v>69</v>
      </c>
      <c r="B3" s="2">
        <v>46029</v>
      </c>
      <c r="C3" t="s">
        <v>14</v>
      </c>
      <c r="D3" t="s">
        <v>70</v>
      </c>
      <c r="E3" t="s">
        <v>68</v>
      </c>
      <c r="F3" t="s">
        <v>16</v>
      </c>
      <c r="G3">
        <v>15</v>
      </c>
      <c r="H3" s="3">
        <v>1800</v>
      </c>
      <c r="I3" s="4">
        <v>0.1</v>
      </c>
      <c r="J3">
        <f t="shared" ref="J3:J41" si="0">(G3*H3)*(1-I3)</f>
        <v>24300</v>
      </c>
      <c r="K3">
        <f t="shared" ref="K3:K41" si="1">G3*H3*I3</f>
        <v>2700</v>
      </c>
      <c r="L3" t="str">
        <f>VLOOKUP(C3,customers_copy!$A$1:$E$22,2,0)</f>
        <v>Crest Foods</v>
      </c>
      <c r="M3" t="str">
        <f>VLOOKUP(C3,customers_copy!$A$1:$E$22,4,0)</f>
        <v>Wholesale</v>
      </c>
      <c r="T3" s="5" t="s">
        <v>144</v>
      </c>
      <c r="U3" s="5">
        <f>COUNT(H2:H41)</f>
        <v>40</v>
      </c>
    </row>
    <row r="4" spans="1:22">
      <c r="A4" t="s">
        <v>71</v>
      </c>
      <c r="B4" s="2">
        <v>46031</v>
      </c>
      <c r="C4" t="s">
        <v>10</v>
      </c>
      <c r="D4" t="s">
        <v>72</v>
      </c>
      <c r="E4" t="s">
        <v>73</v>
      </c>
      <c r="F4" t="s">
        <v>12</v>
      </c>
      <c r="G4">
        <v>6</v>
      </c>
      <c r="H4" s="3">
        <v>7200</v>
      </c>
      <c r="I4" s="4">
        <v>0.08</v>
      </c>
      <c r="J4">
        <f t="shared" si="0"/>
        <v>39744</v>
      </c>
      <c r="K4">
        <f t="shared" si="1"/>
        <v>3456</v>
      </c>
      <c r="L4" t="str">
        <f>VLOOKUP(C4,customers_copy!$A$1:$E$22,2,0)</f>
        <v>BlueMart</v>
      </c>
      <c r="M4" t="str">
        <f>VLOOKUP(C4,customers_copy!$A$1:$E$22,4,0)</f>
        <v>Retail</v>
      </c>
      <c r="T4" s="5" t="s">
        <v>145</v>
      </c>
      <c r="U4" s="5">
        <f>COUNTA(A2:A41)</f>
        <v>40</v>
      </c>
    </row>
    <row r="5" spans="1:22">
      <c r="A5" t="s">
        <v>74</v>
      </c>
      <c r="B5" s="2">
        <v>46034</v>
      </c>
      <c r="C5" t="s">
        <v>22</v>
      </c>
      <c r="D5" t="s">
        <v>75</v>
      </c>
      <c r="E5" t="s">
        <v>68</v>
      </c>
      <c r="F5" t="s">
        <v>12</v>
      </c>
      <c r="G5">
        <v>9</v>
      </c>
      <c r="H5" s="3">
        <v>14500</v>
      </c>
      <c r="I5" s="4">
        <v>0.12</v>
      </c>
      <c r="J5">
        <f t="shared" si="0"/>
        <v>114840</v>
      </c>
      <c r="K5">
        <f t="shared" si="1"/>
        <v>15660</v>
      </c>
      <c r="L5" t="str">
        <f>VLOOKUP(C5,customers_copy!$A$1:$E$22,2,0)</f>
        <v>Elite Supplies</v>
      </c>
      <c r="M5" t="str">
        <f>VLOOKUP(C5,customers_copy!$A$1:$E$22,4,0)</f>
        <v>Wholesale</v>
      </c>
      <c r="T5" s="5" t="s">
        <v>146</v>
      </c>
      <c r="U5" s="5">
        <f>COUNTBLANK(V6:V20)</f>
        <v>3</v>
      </c>
      <c r="V5" t="s">
        <v>147</v>
      </c>
    </row>
    <row r="6" spans="1:22">
      <c r="A6" t="s">
        <v>76</v>
      </c>
      <c r="B6" s="2">
        <v>46037</v>
      </c>
      <c r="C6" t="s">
        <v>19</v>
      </c>
      <c r="D6" t="s">
        <v>77</v>
      </c>
      <c r="E6" t="s">
        <v>73</v>
      </c>
      <c r="F6" t="s">
        <v>7</v>
      </c>
      <c r="G6">
        <v>4</v>
      </c>
      <c r="H6" s="3">
        <v>12000</v>
      </c>
      <c r="I6" s="4">
        <v>0.05</v>
      </c>
      <c r="J6">
        <f t="shared" si="0"/>
        <v>45600</v>
      </c>
      <c r="K6">
        <f t="shared" si="1"/>
        <v>2400</v>
      </c>
      <c r="L6" t="str">
        <f>VLOOKUP(C6,customers_copy!$A$1:$E$22,2,0)</f>
        <v>Delta Stores</v>
      </c>
      <c r="M6" t="str">
        <f>VLOOKUP(C6,customers_copy!$A$1:$E$22,4,0)</f>
        <v>Retail</v>
      </c>
      <c r="V6" s="5">
        <v>24300</v>
      </c>
    </row>
    <row r="7" spans="1:22">
      <c r="A7" t="s">
        <v>78</v>
      </c>
      <c r="B7" s="2">
        <v>46040</v>
      </c>
      <c r="C7" t="s">
        <v>25</v>
      </c>
      <c r="D7" t="s">
        <v>79</v>
      </c>
      <c r="E7" t="s">
        <v>68</v>
      </c>
      <c r="F7" t="s">
        <v>27</v>
      </c>
      <c r="G7">
        <v>25</v>
      </c>
      <c r="H7" s="3">
        <v>750</v>
      </c>
      <c r="I7" s="4">
        <v>0</v>
      </c>
      <c r="J7">
        <f t="shared" si="0"/>
        <v>18750</v>
      </c>
      <c r="K7">
        <f t="shared" si="1"/>
        <v>0</v>
      </c>
      <c r="L7" t="str">
        <f>VLOOKUP(C7,customers_copy!$A$1:$E$22,2,0)</f>
        <v>Fresh Basket</v>
      </c>
      <c r="M7" t="str">
        <f>VLOOKUP(C7,customers_copy!$A$1:$E$22,4,0)</f>
        <v>Retail</v>
      </c>
      <c r="V7" s="5">
        <v>39744</v>
      </c>
    </row>
    <row r="8" spans="1:22">
      <c r="A8" t="s">
        <v>80</v>
      </c>
      <c r="B8" s="2">
        <v>46042</v>
      </c>
      <c r="C8" t="s">
        <v>29</v>
      </c>
      <c r="D8" t="s">
        <v>81</v>
      </c>
      <c r="E8" t="s">
        <v>68</v>
      </c>
      <c r="F8" t="s">
        <v>16</v>
      </c>
      <c r="G8">
        <v>12</v>
      </c>
      <c r="H8" s="3">
        <v>3200</v>
      </c>
      <c r="I8" s="4">
        <v>7.0000000000000007E-2</v>
      </c>
      <c r="J8">
        <f t="shared" si="0"/>
        <v>35712</v>
      </c>
      <c r="K8">
        <f t="shared" si="1"/>
        <v>2688.0000000000005</v>
      </c>
      <c r="L8" t="str">
        <f>VLOOKUP(C8,customers_copy!$A$1:$E$22,2,0)</f>
        <v>Green Valley</v>
      </c>
      <c r="M8" t="str">
        <f>VLOOKUP(C8,customers_copy!$A$1:$E$22,4,0)</f>
        <v>Retail</v>
      </c>
      <c r="V8" s="5">
        <v>114840</v>
      </c>
    </row>
    <row r="9" spans="1:22">
      <c r="A9" t="s">
        <v>82</v>
      </c>
      <c r="B9" s="2">
        <v>46045</v>
      </c>
      <c r="C9" t="s">
        <v>32</v>
      </c>
      <c r="D9" t="s">
        <v>83</v>
      </c>
      <c r="E9" t="s">
        <v>68</v>
      </c>
      <c r="F9" t="s">
        <v>12</v>
      </c>
      <c r="G9">
        <v>18</v>
      </c>
      <c r="H9" s="3">
        <v>2100</v>
      </c>
      <c r="I9" s="4">
        <v>0.05</v>
      </c>
      <c r="J9">
        <f t="shared" si="0"/>
        <v>35910</v>
      </c>
      <c r="K9">
        <f t="shared" si="1"/>
        <v>1890</v>
      </c>
      <c r="L9" t="str">
        <f>VLOOKUP(C9,customers_copy!$A$1:$E$22,2,0)</f>
        <v>Horizon Cafe</v>
      </c>
      <c r="M9" t="str">
        <f>VLOOKUP(C9,customers_copy!$A$1:$E$22,4,0)</f>
        <v>Food Service</v>
      </c>
      <c r="V9" s="5">
        <v>45600</v>
      </c>
    </row>
    <row r="10" spans="1:22">
      <c r="A10" t="s">
        <v>84</v>
      </c>
      <c r="B10" s="2">
        <v>46048</v>
      </c>
      <c r="C10" t="s">
        <v>35</v>
      </c>
      <c r="D10" t="s">
        <v>85</v>
      </c>
      <c r="E10" t="s">
        <v>68</v>
      </c>
      <c r="F10" t="s">
        <v>7</v>
      </c>
      <c r="G10">
        <v>5</v>
      </c>
      <c r="H10" s="3">
        <v>9800</v>
      </c>
      <c r="I10" s="4">
        <v>0.1</v>
      </c>
      <c r="J10">
        <f t="shared" si="0"/>
        <v>44100</v>
      </c>
      <c r="K10">
        <f t="shared" si="1"/>
        <v>4900</v>
      </c>
      <c r="L10" t="str">
        <f>VLOOKUP(C10,customers_copy!$A$1:$E$22,2,0)</f>
        <v>Ivy Traders</v>
      </c>
      <c r="M10" t="str">
        <f>VLOOKUP(C10,customers_copy!$A$1:$E$22,4,0)</f>
        <v>Wholesale</v>
      </c>
      <c r="V10" s="5"/>
    </row>
    <row r="11" spans="1:22">
      <c r="A11" t="s">
        <v>86</v>
      </c>
      <c r="B11" s="2">
        <v>46050</v>
      </c>
      <c r="C11" t="s">
        <v>37</v>
      </c>
      <c r="D11" t="s">
        <v>87</v>
      </c>
      <c r="E11" t="s">
        <v>73</v>
      </c>
      <c r="F11" t="s">
        <v>16</v>
      </c>
      <c r="G11">
        <v>14</v>
      </c>
      <c r="H11" s="3">
        <v>1650</v>
      </c>
      <c r="I11" s="4">
        <v>0.03</v>
      </c>
      <c r="J11">
        <f t="shared" si="0"/>
        <v>22407</v>
      </c>
      <c r="K11">
        <f t="shared" si="1"/>
        <v>693</v>
      </c>
      <c r="L11" t="str">
        <f>VLOOKUP(C11,customers_copy!$A$1:$E$22,2,0)</f>
        <v>Jupiter Mart</v>
      </c>
      <c r="M11" t="str">
        <f>VLOOKUP(C11,customers_copy!$A$1:$E$22,4,0)</f>
        <v>Retail</v>
      </c>
      <c r="V11" s="5">
        <v>35712</v>
      </c>
    </row>
    <row r="12" spans="1:22">
      <c r="A12" t="s">
        <v>88</v>
      </c>
      <c r="B12" s="2">
        <v>46055</v>
      </c>
      <c r="C12" t="s">
        <v>39</v>
      </c>
      <c r="D12" t="s">
        <v>72</v>
      </c>
      <c r="E12" t="s">
        <v>73</v>
      </c>
      <c r="F12" t="s">
        <v>12</v>
      </c>
      <c r="G12">
        <v>7</v>
      </c>
      <c r="H12" s="3">
        <v>7200</v>
      </c>
      <c r="I12" s="4">
        <v>0.08</v>
      </c>
      <c r="J12">
        <f t="shared" si="0"/>
        <v>46368</v>
      </c>
      <c r="K12">
        <f t="shared" si="1"/>
        <v>4032</v>
      </c>
      <c r="L12" t="str">
        <f>VLOOKUP(C12,customers_copy!$A$1:$E$22,2,0)</f>
        <v>Kaveri Foods</v>
      </c>
      <c r="M12" t="str">
        <f>VLOOKUP(C12,customers_copy!$A$1:$E$22,4,0)</f>
        <v>Wholesale</v>
      </c>
      <c r="V12" s="5">
        <v>35910</v>
      </c>
    </row>
    <row r="13" spans="1:22">
      <c r="A13" t="s">
        <v>89</v>
      </c>
      <c r="B13" s="2">
        <v>46058</v>
      </c>
      <c r="C13" t="s">
        <v>41</v>
      </c>
      <c r="D13" t="s">
        <v>70</v>
      </c>
      <c r="E13" t="s">
        <v>68</v>
      </c>
      <c r="F13" t="s">
        <v>27</v>
      </c>
      <c r="G13">
        <v>20</v>
      </c>
      <c r="H13" s="3">
        <v>1800</v>
      </c>
      <c r="I13" s="4">
        <v>0.06</v>
      </c>
      <c r="J13">
        <f t="shared" si="0"/>
        <v>33840</v>
      </c>
      <c r="K13">
        <f t="shared" si="1"/>
        <v>2160</v>
      </c>
      <c r="L13" t="str">
        <f>VLOOKUP(C13,customers_copy!$A$1:$E$22,2,0)</f>
        <v>Lotus Retail</v>
      </c>
      <c r="M13" t="str">
        <f>VLOOKUP(C13,customers_copy!$A$1:$E$22,4,0)</f>
        <v>Retail</v>
      </c>
      <c r="V13" s="5">
        <v>44100</v>
      </c>
    </row>
    <row r="14" spans="1:22">
      <c r="A14" t="s">
        <v>90</v>
      </c>
      <c r="B14" s="2">
        <v>46061</v>
      </c>
      <c r="C14" t="s">
        <v>43</v>
      </c>
      <c r="D14" t="s">
        <v>67</v>
      </c>
      <c r="E14" t="s">
        <v>68</v>
      </c>
      <c r="F14" t="s">
        <v>7</v>
      </c>
      <c r="G14">
        <v>10</v>
      </c>
      <c r="H14" s="3">
        <v>1250</v>
      </c>
      <c r="I14" s="4">
        <v>0.05</v>
      </c>
      <c r="J14">
        <f t="shared" si="0"/>
        <v>11875</v>
      </c>
      <c r="K14">
        <f t="shared" si="1"/>
        <v>625</v>
      </c>
      <c r="L14" t="str">
        <f>VLOOKUP(C14,customers_copy!$A$1:$E$22,2,0)</f>
        <v>Metro Bazaar</v>
      </c>
      <c r="M14" t="str">
        <f>VLOOKUP(C14,customers_copy!$A$1:$E$22,4,0)</f>
        <v>Retail</v>
      </c>
      <c r="V14" s="5"/>
    </row>
    <row r="15" spans="1:22">
      <c r="A15" t="s">
        <v>91</v>
      </c>
      <c r="B15" s="2">
        <v>46064</v>
      </c>
      <c r="C15" t="s">
        <v>45</v>
      </c>
      <c r="D15" t="s">
        <v>75</v>
      </c>
      <c r="E15" t="s">
        <v>68</v>
      </c>
      <c r="F15" t="s">
        <v>16</v>
      </c>
      <c r="G15">
        <v>8</v>
      </c>
      <c r="H15" s="3">
        <v>14500</v>
      </c>
      <c r="I15" s="4">
        <v>0.15</v>
      </c>
      <c r="J15">
        <f t="shared" si="0"/>
        <v>98600</v>
      </c>
      <c r="K15">
        <f t="shared" si="1"/>
        <v>17400</v>
      </c>
      <c r="L15" t="str">
        <f>VLOOKUP(C15,customers_copy!$A$1:$E$22,2,0)</f>
        <v>Nova Wholesale</v>
      </c>
      <c r="M15" t="str">
        <f>VLOOKUP(C15,customers_copy!$A$1:$E$22,4,0)</f>
        <v>Wholesale</v>
      </c>
      <c r="V15" s="5">
        <v>46368</v>
      </c>
    </row>
    <row r="16" spans="1:22">
      <c r="A16" t="s">
        <v>92</v>
      </c>
      <c r="B16" s="2">
        <v>46067</v>
      </c>
      <c r="C16" t="s">
        <v>47</v>
      </c>
      <c r="D16" t="s">
        <v>77</v>
      </c>
      <c r="E16" t="s">
        <v>73</v>
      </c>
      <c r="F16" t="s">
        <v>12</v>
      </c>
      <c r="G16">
        <v>3</v>
      </c>
      <c r="H16" s="3">
        <v>12000</v>
      </c>
      <c r="I16" s="4">
        <v>0.05</v>
      </c>
      <c r="J16">
        <f t="shared" si="0"/>
        <v>34200</v>
      </c>
      <c r="K16">
        <f t="shared" si="1"/>
        <v>1800</v>
      </c>
      <c r="L16" t="str">
        <f>VLOOKUP(C16,customers_copy!$A$1:$E$22,2,0)</f>
        <v>Orchid Cafe</v>
      </c>
      <c r="M16" t="str">
        <f>VLOOKUP(C16,customers_copy!$A$1:$E$22,4,0)</f>
        <v>Food Service</v>
      </c>
      <c r="V16" s="5"/>
    </row>
    <row r="17" spans="1:22">
      <c r="A17" t="s">
        <v>93</v>
      </c>
      <c r="B17" s="2">
        <v>46070</v>
      </c>
      <c r="C17" t="s">
        <v>49</v>
      </c>
      <c r="D17" t="s">
        <v>79</v>
      </c>
      <c r="E17" t="s">
        <v>68</v>
      </c>
      <c r="F17" t="s">
        <v>27</v>
      </c>
      <c r="G17">
        <v>30</v>
      </c>
      <c r="H17" s="3">
        <v>750</v>
      </c>
      <c r="I17" s="4">
        <v>0.02</v>
      </c>
      <c r="J17">
        <f t="shared" si="0"/>
        <v>22050</v>
      </c>
      <c r="K17">
        <f t="shared" si="1"/>
        <v>450</v>
      </c>
      <c r="L17" t="str">
        <f>VLOOKUP(C17,customers_copy!$A$1:$E$22,2,0)</f>
        <v>Prime Grocers</v>
      </c>
      <c r="M17" t="str">
        <f>VLOOKUP(C17,customers_copy!$A$1:$E$22,4,0)</f>
        <v>Retail</v>
      </c>
      <c r="V17" s="5">
        <v>11875</v>
      </c>
    </row>
    <row r="18" spans="1:22">
      <c r="A18" t="s">
        <v>94</v>
      </c>
      <c r="B18" s="2">
        <v>46073</v>
      </c>
      <c r="C18" t="s">
        <v>51</v>
      </c>
      <c r="D18" t="s">
        <v>81</v>
      </c>
      <c r="E18" t="s">
        <v>68</v>
      </c>
      <c r="F18" t="s">
        <v>7</v>
      </c>
      <c r="G18">
        <v>9</v>
      </c>
      <c r="H18" s="3">
        <v>3200</v>
      </c>
      <c r="I18" s="4">
        <v>7.0000000000000007E-2</v>
      </c>
      <c r="J18">
        <f t="shared" si="0"/>
        <v>26784</v>
      </c>
      <c r="K18">
        <f t="shared" si="1"/>
        <v>2016.0000000000002</v>
      </c>
      <c r="L18" t="str">
        <f>VLOOKUP(C18,customers_copy!$A$1:$E$22,2,0)</f>
        <v>QuickBuy</v>
      </c>
      <c r="M18" t="str">
        <f>VLOOKUP(C18,customers_copy!$A$1:$E$22,4,0)</f>
        <v>Retail</v>
      </c>
      <c r="V18" s="5">
        <v>98600</v>
      </c>
    </row>
    <row r="19" spans="1:22">
      <c r="A19" t="s">
        <v>95</v>
      </c>
      <c r="B19" s="2">
        <v>46076</v>
      </c>
      <c r="C19" t="s">
        <v>53</v>
      </c>
      <c r="D19" t="s">
        <v>85</v>
      </c>
      <c r="E19" t="s">
        <v>68</v>
      </c>
      <c r="F19" t="s">
        <v>16</v>
      </c>
      <c r="G19">
        <v>6</v>
      </c>
      <c r="H19" s="3">
        <v>9800</v>
      </c>
      <c r="I19" s="4">
        <v>0.1</v>
      </c>
      <c r="J19">
        <f t="shared" si="0"/>
        <v>52920</v>
      </c>
      <c r="K19">
        <f t="shared" si="1"/>
        <v>5880</v>
      </c>
      <c r="L19" t="str">
        <f>VLOOKUP(C19,customers_copy!$A$1:$E$22,2,0)</f>
        <v>Royal Foods</v>
      </c>
      <c r="M19" t="str">
        <f>VLOOKUP(C19,customers_copy!$A$1:$E$22,4,0)</f>
        <v>Wholesale</v>
      </c>
      <c r="V19" s="5">
        <v>34200</v>
      </c>
    </row>
    <row r="20" spans="1:22">
      <c r="A20" t="s">
        <v>96</v>
      </c>
      <c r="B20" s="2">
        <v>46078</v>
      </c>
      <c r="C20" t="s">
        <v>55</v>
      </c>
      <c r="D20" t="s">
        <v>83</v>
      </c>
      <c r="E20" t="s">
        <v>68</v>
      </c>
      <c r="F20" t="s">
        <v>12</v>
      </c>
      <c r="G20">
        <v>16</v>
      </c>
      <c r="H20" s="3">
        <v>2100</v>
      </c>
      <c r="I20" s="4">
        <v>0.05</v>
      </c>
      <c r="J20">
        <f t="shared" si="0"/>
        <v>31920</v>
      </c>
      <c r="K20">
        <f t="shared" si="1"/>
        <v>1680</v>
      </c>
      <c r="L20" t="str">
        <f>VLOOKUP(C20,customers_copy!$A$1:$E$22,2,0)</f>
        <v>Sunrise Mart</v>
      </c>
      <c r="M20" t="str">
        <f>VLOOKUP(C20,customers_copy!$A$1:$E$22,4,0)</f>
        <v>Retail</v>
      </c>
      <c r="V20" s="5">
        <v>22050</v>
      </c>
    </row>
    <row r="21" spans="1:22">
      <c r="A21" t="s">
        <v>97</v>
      </c>
      <c r="B21" s="2">
        <v>46080</v>
      </c>
      <c r="C21" t="s">
        <v>57</v>
      </c>
      <c r="D21" t="s">
        <v>87</v>
      </c>
      <c r="E21" t="s">
        <v>73</v>
      </c>
      <c r="F21" t="s">
        <v>27</v>
      </c>
      <c r="G21">
        <v>11</v>
      </c>
      <c r="H21" s="3">
        <v>1650</v>
      </c>
      <c r="I21" s="4">
        <v>0.03</v>
      </c>
      <c r="J21">
        <f t="shared" si="0"/>
        <v>17605.5</v>
      </c>
      <c r="K21">
        <f t="shared" si="1"/>
        <v>544.5</v>
      </c>
      <c r="L21" t="str">
        <f>VLOOKUP(C21,customers_copy!$A$1:$E$22,2,0)</f>
        <v>TrueValue</v>
      </c>
      <c r="M21" t="str">
        <f>VLOOKUP(C21,customers_copy!$A$1:$E$22,4,0)</f>
        <v>Wholesale</v>
      </c>
    </row>
    <row r="22" spans="1:22">
      <c r="A22" t="s">
        <v>98</v>
      </c>
      <c r="B22" s="2">
        <v>46083</v>
      </c>
      <c r="C22" t="s">
        <v>5</v>
      </c>
      <c r="D22" t="s">
        <v>75</v>
      </c>
      <c r="E22" t="s">
        <v>68</v>
      </c>
      <c r="F22" t="s">
        <v>7</v>
      </c>
      <c r="G22">
        <v>7</v>
      </c>
      <c r="H22" s="3">
        <v>14500</v>
      </c>
      <c r="I22" s="4">
        <v>0.1</v>
      </c>
      <c r="J22">
        <f t="shared" si="0"/>
        <v>91350</v>
      </c>
      <c r="K22">
        <f t="shared" si="1"/>
        <v>10150</v>
      </c>
      <c r="L22" t="str">
        <f>VLOOKUP(C22,customers_copy!$A$1:$E$22,2,0)</f>
        <v>Aarav Retail</v>
      </c>
      <c r="M22" t="str">
        <f>VLOOKUP(C22,customers_copy!$A$1:$E$22,4,0)</f>
        <v>Retail</v>
      </c>
    </row>
    <row r="23" spans="1:22">
      <c r="A23" t="s">
        <v>99</v>
      </c>
      <c r="B23" s="2">
        <v>46086</v>
      </c>
      <c r="C23" t="s">
        <v>14</v>
      </c>
      <c r="D23" t="s">
        <v>72</v>
      </c>
      <c r="E23" t="s">
        <v>73</v>
      </c>
      <c r="F23" t="s">
        <v>16</v>
      </c>
      <c r="G23">
        <v>5</v>
      </c>
      <c r="H23" s="3">
        <v>7200</v>
      </c>
      <c r="I23" s="4">
        <v>0.08</v>
      </c>
      <c r="J23">
        <f t="shared" si="0"/>
        <v>33120</v>
      </c>
      <c r="K23">
        <f t="shared" si="1"/>
        <v>2880</v>
      </c>
      <c r="L23" t="str">
        <f>VLOOKUP(C23,customers_copy!$A$1:$E$22,2,0)</f>
        <v>Crest Foods</v>
      </c>
      <c r="M23" t="str">
        <f>VLOOKUP(C23,customers_copy!$A$1:$E$22,4,0)</f>
        <v>Wholesale</v>
      </c>
    </row>
    <row r="24" spans="1:22">
      <c r="A24" t="s">
        <v>100</v>
      </c>
      <c r="B24" s="2">
        <v>46089</v>
      </c>
      <c r="C24" t="s">
        <v>10</v>
      </c>
      <c r="D24" t="s">
        <v>70</v>
      </c>
      <c r="E24" t="s">
        <v>68</v>
      </c>
      <c r="F24" t="s">
        <v>12</v>
      </c>
      <c r="G24">
        <v>22</v>
      </c>
      <c r="H24" s="3">
        <v>1800</v>
      </c>
      <c r="I24" s="4">
        <v>0.05</v>
      </c>
      <c r="J24">
        <f t="shared" si="0"/>
        <v>37620</v>
      </c>
      <c r="K24">
        <f t="shared" si="1"/>
        <v>1980</v>
      </c>
      <c r="L24" t="str">
        <f>VLOOKUP(C24,customers_copy!$A$1:$E$22,2,0)</f>
        <v>BlueMart</v>
      </c>
      <c r="M24" t="str">
        <f>VLOOKUP(C24,customers_copy!$A$1:$E$22,4,0)</f>
        <v>Retail</v>
      </c>
    </row>
    <row r="25" spans="1:22">
      <c r="A25" t="s">
        <v>101</v>
      </c>
      <c r="B25" s="2">
        <v>46092</v>
      </c>
      <c r="C25" t="s">
        <v>22</v>
      </c>
      <c r="D25" t="s">
        <v>67</v>
      </c>
      <c r="E25" t="s">
        <v>68</v>
      </c>
      <c r="F25" t="s">
        <v>12</v>
      </c>
      <c r="G25">
        <v>13</v>
      </c>
      <c r="H25" s="3">
        <v>1250</v>
      </c>
      <c r="I25" s="4">
        <v>0.04</v>
      </c>
      <c r="J25">
        <f t="shared" si="0"/>
        <v>15600</v>
      </c>
      <c r="K25">
        <f t="shared" si="1"/>
        <v>650</v>
      </c>
      <c r="L25" t="str">
        <f>VLOOKUP(C25,customers_copy!$A$1:$E$22,2,0)</f>
        <v>Elite Supplies</v>
      </c>
      <c r="M25" t="str">
        <f>VLOOKUP(C25,customers_copy!$A$1:$E$22,4,0)</f>
        <v>Wholesale</v>
      </c>
    </row>
    <row r="26" spans="1:22">
      <c r="A26" t="s">
        <v>102</v>
      </c>
      <c r="B26" s="2">
        <v>46095</v>
      </c>
      <c r="C26" t="s">
        <v>19</v>
      </c>
      <c r="D26" t="s">
        <v>85</v>
      </c>
      <c r="E26" t="s">
        <v>68</v>
      </c>
      <c r="F26" t="s">
        <v>7</v>
      </c>
      <c r="G26">
        <v>4</v>
      </c>
      <c r="H26" s="3">
        <v>9800</v>
      </c>
      <c r="I26" s="4">
        <v>0.09</v>
      </c>
      <c r="J26">
        <f t="shared" si="0"/>
        <v>35672</v>
      </c>
      <c r="K26">
        <f t="shared" si="1"/>
        <v>3528</v>
      </c>
      <c r="L26" t="str">
        <f>VLOOKUP(C26,customers_copy!$A$1:$E$22,2,0)</f>
        <v>Delta Stores</v>
      </c>
      <c r="M26" t="str">
        <f>VLOOKUP(C26,customers_copy!$A$1:$E$22,4,0)</f>
        <v>Retail</v>
      </c>
    </row>
    <row r="27" spans="1:22">
      <c r="A27" t="s">
        <v>103</v>
      </c>
      <c r="B27" s="2">
        <v>46098</v>
      </c>
      <c r="C27" t="s">
        <v>25</v>
      </c>
      <c r="D27" t="s">
        <v>87</v>
      </c>
      <c r="E27" t="s">
        <v>73</v>
      </c>
      <c r="F27" t="s">
        <v>27</v>
      </c>
      <c r="G27">
        <v>17</v>
      </c>
      <c r="H27" s="3">
        <v>1650</v>
      </c>
      <c r="I27" s="4">
        <v>0.03</v>
      </c>
      <c r="J27">
        <f t="shared" si="0"/>
        <v>27208.5</v>
      </c>
      <c r="K27">
        <f t="shared" si="1"/>
        <v>841.5</v>
      </c>
      <c r="L27" t="str">
        <f>VLOOKUP(C27,customers_copy!$A$1:$E$22,2,0)</f>
        <v>Fresh Basket</v>
      </c>
      <c r="M27" t="str">
        <f>VLOOKUP(C27,customers_copy!$A$1:$E$22,4,0)</f>
        <v>Retail</v>
      </c>
    </row>
    <row r="28" spans="1:22">
      <c r="A28" t="s">
        <v>104</v>
      </c>
      <c r="B28" s="2">
        <v>46101</v>
      </c>
      <c r="C28" t="s">
        <v>29</v>
      </c>
      <c r="D28" t="s">
        <v>79</v>
      </c>
      <c r="E28" t="s">
        <v>68</v>
      </c>
      <c r="F28" t="s">
        <v>16</v>
      </c>
      <c r="G28">
        <v>28</v>
      </c>
      <c r="H28" s="3">
        <v>750</v>
      </c>
      <c r="I28" s="4">
        <v>0.02</v>
      </c>
      <c r="J28">
        <f t="shared" si="0"/>
        <v>20580</v>
      </c>
      <c r="K28">
        <f t="shared" si="1"/>
        <v>420</v>
      </c>
      <c r="L28" t="str">
        <f>VLOOKUP(C28,customers_copy!$A$1:$E$22,2,0)</f>
        <v>Green Valley</v>
      </c>
      <c r="M28" t="str">
        <f>VLOOKUP(C28,customers_copy!$A$1:$E$22,4,0)</f>
        <v>Retail</v>
      </c>
    </row>
    <row r="29" spans="1:22">
      <c r="A29" t="s">
        <v>105</v>
      </c>
      <c r="B29" s="2">
        <v>46104</v>
      </c>
      <c r="C29" t="s">
        <v>32</v>
      </c>
      <c r="D29" t="s">
        <v>81</v>
      </c>
      <c r="E29" t="s">
        <v>68</v>
      </c>
      <c r="F29" t="s">
        <v>12</v>
      </c>
      <c r="G29">
        <v>10</v>
      </c>
      <c r="H29" s="3">
        <v>3200</v>
      </c>
      <c r="I29" s="4">
        <v>0.06</v>
      </c>
      <c r="J29">
        <f t="shared" si="0"/>
        <v>30080</v>
      </c>
      <c r="K29">
        <f t="shared" si="1"/>
        <v>1920</v>
      </c>
      <c r="L29" t="str">
        <f>VLOOKUP(C29,customers_copy!$A$1:$E$22,2,0)</f>
        <v>Horizon Cafe</v>
      </c>
      <c r="M29" t="str">
        <f>VLOOKUP(C29,customers_copy!$A$1:$E$22,4,0)</f>
        <v>Food Service</v>
      </c>
    </row>
    <row r="30" spans="1:22">
      <c r="A30" t="s">
        <v>106</v>
      </c>
      <c r="B30" s="2">
        <v>46107</v>
      </c>
      <c r="C30" t="s">
        <v>35</v>
      </c>
      <c r="D30" t="s">
        <v>75</v>
      </c>
      <c r="E30" t="s">
        <v>68</v>
      </c>
      <c r="F30" t="s">
        <v>7</v>
      </c>
      <c r="G30">
        <v>6</v>
      </c>
      <c r="H30" s="3">
        <v>14500</v>
      </c>
      <c r="I30" s="4">
        <v>0.11</v>
      </c>
      <c r="J30">
        <f t="shared" si="0"/>
        <v>77430</v>
      </c>
      <c r="K30">
        <f t="shared" si="1"/>
        <v>9570</v>
      </c>
      <c r="L30" t="str">
        <f>VLOOKUP(C30,customers_copy!$A$1:$E$22,2,0)</f>
        <v>Ivy Traders</v>
      </c>
      <c r="M30" t="str">
        <f>VLOOKUP(C30,customers_copy!$A$1:$E$22,4,0)</f>
        <v>Wholesale</v>
      </c>
    </row>
    <row r="31" spans="1:22">
      <c r="A31" t="s">
        <v>107</v>
      </c>
      <c r="B31" s="2">
        <v>46110</v>
      </c>
      <c r="C31" t="s">
        <v>37</v>
      </c>
      <c r="D31" t="s">
        <v>83</v>
      </c>
      <c r="E31" t="s">
        <v>68</v>
      </c>
      <c r="F31" t="s">
        <v>16</v>
      </c>
      <c r="G31">
        <v>21</v>
      </c>
      <c r="H31" s="3">
        <v>2100</v>
      </c>
      <c r="I31" s="4">
        <v>0.05</v>
      </c>
      <c r="J31">
        <f t="shared" si="0"/>
        <v>41895</v>
      </c>
      <c r="K31">
        <f t="shared" si="1"/>
        <v>2205</v>
      </c>
      <c r="L31" t="str">
        <f>VLOOKUP(C31,customers_copy!$A$1:$E$22,2,0)</f>
        <v>Jupiter Mart</v>
      </c>
      <c r="M31" t="str">
        <f>VLOOKUP(C31,customers_copy!$A$1:$E$22,4,0)</f>
        <v>Retail</v>
      </c>
    </row>
    <row r="32" spans="1:22">
      <c r="A32" t="s">
        <v>108</v>
      </c>
      <c r="B32" s="2">
        <v>46114</v>
      </c>
      <c r="C32" t="s">
        <v>39</v>
      </c>
      <c r="D32" t="s">
        <v>85</v>
      </c>
      <c r="E32" t="s">
        <v>68</v>
      </c>
      <c r="F32" t="s">
        <v>12</v>
      </c>
      <c r="G32">
        <v>3</v>
      </c>
      <c r="H32" s="3">
        <v>9800</v>
      </c>
      <c r="I32" s="4">
        <v>0.08</v>
      </c>
      <c r="J32">
        <f t="shared" si="0"/>
        <v>27048</v>
      </c>
      <c r="K32">
        <f t="shared" si="1"/>
        <v>2352</v>
      </c>
      <c r="L32" t="str">
        <f>VLOOKUP(C32,customers_copy!$A$1:$E$22,2,0)</f>
        <v>Kaveri Foods</v>
      </c>
      <c r="M32" t="str">
        <f>VLOOKUP(C32,customers_copy!$A$1:$E$22,4,0)</f>
        <v>Wholesale</v>
      </c>
    </row>
    <row r="33" spans="1:13">
      <c r="A33" t="s">
        <v>109</v>
      </c>
      <c r="B33" s="2">
        <v>46117</v>
      </c>
      <c r="C33" t="s">
        <v>41</v>
      </c>
      <c r="D33" t="s">
        <v>72</v>
      </c>
      <c r="E33" t="s">
        <v>73</v>
      </c>
      <c r="F33" t="s">
        <v>27</v>
      </c>
      <c r="G33">
        <v>8</v>
      </c>
      <c r="H33" s="3">
        <v>7200</v>
      </c>
      <c r="I33" s="4">
        <v>7.0000000000000007E-2</v>
      </c>
      <c r="J33">
        <f t="shared" si="0"/>
        <v>53568</v>
      </c>
      <c r="K33">
        <f t="shared" si="1"/>
        <v>4032.0000000000005</v>
      </c>
      <c r="L33" t="str">
        <f>VLOOKUP(C33,customers_copy!$A$1:$E$22,2,0)</f>
        <v>Lotus Retail</v>
      </c>
      <c r="M33" t="str">
        <f>VLOOKUP(C33,customers_copy!$A$1:$E$22,4,0)</f>
        <v>Retail</v>
      </c>
    </row>
    <row r="34" spans="1:13">
      <c r="A34" t="s">
        <v>110</v>
      </c>
      <c r="B34" s="2">
        <v>46120</v>
      </c>
      <c r="C34" t="s">
        <v>43</v>
      </c>
      <c r="D34" t="s">
        <v>77</v>
      </c>
      <c r="E34" t="s">
        <v>73</v>
      </c>
      <c r="F34" t="s">
        <v>7</v>
      </c>
      <c r="G34">
        <v>5</v>
      </c>
      <c r="H34" s="3">
        <v>12000</v>
      </c>
      <c r="I34" s="4">
        <v>0.05</v>
      </c>
      <c r="J34">
        <f t="shared" si="0"/>
        <v>57000</v>
      </c>
      <c r="K34">
        <f t="shared" si="1"/>
        <v>3000</v>
      </c>
      <c r="L34" t="str">
        <f>VLOOKUP(C34,customers_copy!$A$1:$E$22,2,0)</f>
        <v>Metro Bazaar</v>
      </c>
      <c r="M34" t="str">
        <f>VLOOKUP(C34,customers_copy!$A$1:$E$22,4,0)</f>
        <v>Retail</v>
      </c>
    </row>
    <row r="35" spans="1:13">
      <c r="A35" t="s">
        <v>111</v>
      </c>
      <c r="B35" s="2">
        <v>46123</v>
      </c>
      <c r="C35" t="s">
        <v>45</v>
      </c>
      <c r="D35" t="s">
        <v>70</v>
      </c>
      <c r="E35" t="s">
        <v>68</v>
      </c>
      <c r="F35" t="s">
        <v>16</v>
      </c>
      <c r="G35">
        <v>19</v>
      </c>
      <c r="H35" s="3">
        <v>1800</v>
      </c>
      <c r="I35" s="4">
        <v>0.04</v>
      </c>
      <c r="J35">
        <f t="shared" si="0"/>
        <v>32832</v>
      </c>
      <c r="K35">
        <f t="shared" si="1"/>
        <v>1368</v>
      </c>
      <c r="L35" t="str">
        <f>VLOOKUP(C35,customers_copy!$A$1:$E$22,2,0)</f>
        <v>Nova Wholesale</v>
      </c>
      <c r="M35" t="str">
        <f>VLOOKUP(C35,customers_copy!$A$1:$E$22,4,0)</f>
        <v>Wholesale</v>
      </c>
    </row>
    <row r="36" spans="1:13">
      <c r="A36" t="s">
        <v>112</v>
      </c>
      <c r="B36" s="2">
        <v>46126</v>
      </c>
      <c r="C36" t="s">
        <v>47</v>
      </c>
      <c r="D36" t="s">
        <v>79</v>
      </c>
      <c r="E36" t="s">
        <v>68</v>
      </c>
      <c r="F36" t="s">
        <v>12</v>
      </c>
      <c r="G36">
        <v>26</v>
      </c>
      <c r="H36" s="3">
        <v>750</v>
      </c>
      <c r="I36" s="4">
        <v>0.02</v>
      </c>
      <c r="J36">
        <f t="shared" si="0"/>
        <v>19110</v>
      </c>
      <c r="K36">
        <f t="shared" si="1"/>
        <v>390</v>
      </c>
      <c r="L36" t="str">
        <f>VLOOKUP(C36,customers_copy!$A$1:$E$22,2,0)</f>
        <v>Orchid Cafe</v>
      </c>
      <c r="M36" t="str">
        <f>VLOOKUP(C36,customers_copy!$A$1:$E$22,4,0)</f>
        <v>Food Service</v>
      </c>
    </row>
    <row r="37" spans="1:13">
      <c r="A37" t="s">
        <v>113</v>
      </c>
      <c r="B37" s="2">
        <v>46129</v>
      </c>
      <c r="C37" t="s">
        <v>49</v>
      </c>
      <c r="D37" t="s">
        <v>75</v>
      </c>
      <c r="E37" t="s">
        <v>68</v>
      </c>
      <c r="F37" t="s">
        <v>27</v>
      </c>
      <c r="G37">
        <v>4</v>
      </c>
      <c r="H37" s="3">
        <v>14500</v>
      </c>
      <c r="I37" s="4">
        <v>0.1</v>
      </c>
      <c r="J37">
        <f t="shared" si="0"/>
        <v>52200</v>
      </c>
      <c r="K37">
        <f t="shared" si="1"/>
        <v>5800</v>
      </c>
      <c r="L37" t="str">
        <f>VLOOKUP(C37,customers_copy!$A$1:$E$22,2,0)</f>
        <v>Prime Grocers</v>
      </c>
      <c r="M37" t="str">
        <f>VLOOKUP(C37,customers_copy!$A$1:$E$22,4,0)</f>
        <v>Retail</v>
      </c>
    </row>
    <row r="38" spans="1:13">
      <c r="A38" t="s">
        <v>114</v>
      </c>
      <c r="B38" s="2">
        <v>46132</v>
      </c>
      <c r="C38" t="s">
        <v>51</v>
      </c>
      <c r="D38" t="s">
        <v>67</v>
      </c>
      <c r="E38" t="s">
        <v>68</v>
      </c>
      <c r="F38" t="s">
        <v>7</v>
      </c>
      <c r="G38">
        <v>16</v>
      </c>
      <c r="H38" s="3">
        <v>1250</v>
      </c>
      <c r="I38" s="4">
        <v>0.05</v>
      </c>
      <c r="J38">
        <f t="shared" si="0"/>
        <v>19000</v>
      </c>
      <c r="K38">
        <f t="shared" si="1"/>
        <v>1000</v>
      </c>
      <c r="L38" t="str">
        <f>VLOOKUP(C38,customers_copy!$A$1:$E$22,2,0)</f>
        <v>QuickBuy</v>
      </c>
      <c r="M38" t="str">
        <f>VLOOKUP(C38,customers_copy!$A$1:$E$22,4,0)</f>
        <v>Retail</v>
      </c>
    </row>
    <row r="39" spans="1:13">
      <c r="A39" t="s">
        <v>115</v>
      </c>
      <c r="B39" s="2">
        <v>46135</v>
      </c>
      <c r="C39" t="s">
        <v>53</v>
      </c>
      <c r="D39" t="s">
        <v>87</v>
      </c>
      <c r="E39" t="s">
        <v>73</v>
      </c>
      <c r="F39" t="s">
        <v>16</v>
      </c>
      <c r="G39">
        <v>13</v>
      </c>
      <c r="H39" s="3">
        <v>1650</v>
      </c>
      <c r="I39" s="4">
        <v>0.03</v>
      </c>
      <c r="J39">
        <f t="shared" si="0"/>
        <v>20806.5</v>
      </c>
      <c r="K39">
        <f t="shared" si="1"/>
        <v>643.5</v>
      </c>
      <c r="L39" t="str">
        <f>VLOOKUP(C39,customers_copy!$A$1:$E$22,2,0)</f>
        <v>Royal Foods</v>
      </c>
      <c r="M39" t="str">
        <f>VLOOKUP(C39,customers_copy!$A$1:$E$22,4,0)</f>
        <v>Wholesale</v>
      </c>
    </row>
    <row r="40" spans="1:13">
      <c r="A40" t="s">
        <v>116</v>
      </c>
      <c r="B40" s="2">
        <v>46138</v>
      </c>
      <c r="C40" t="s">
        <v>55</v>
      </c>
      <c r="D40" t="s">
        <v>85</v>
      </c>
      <c r="E40" t="s">
        <v>68</v>
      </c>
      <c r="F40" t="s">
        <v>12</v>
      </c>
      <c r="G40">
        <v>5</v>
      </c>
      <c r="H40" s="3">
        <v>9800</v>
      </c>
      <c r="I40" s="4">
        <v>0.08</v>
      </c>
      <c r="J40">
        <f t="shared" si="0"/>
        <v>45080</v>
      </c>
      <c r="K40">
        <f t="shared" si="1"/>
        <v>3920</v>
      </c>
      <c r="L40" t="str">
        <f>VLOOKUP(C40,customers_copy!$A$1:$E$22,2,0)</f>
        <v>Sunrise Mart</v>
      </c>
      <c r="M40" t="str">
        <f>VLOOKUP(C40,customers_copy!$A$1:$E$22,4,0)</f>
        <v>Retail</v>
      </c>
    </row>
    <row r="41" spans="1:13">
      <c r="A41" t="s">
        <v>117</v>
      </c>
      <c r="B41" s="2">
        <v>46141</v>
      </c>
      <c r="C41" t="s">
        <v>57</v>
      </c>
      <c r="D41" t="s">
        <v>81</v>
      </c>
      <c r="E41" t="s">
        <v>68</v>
      </c>
      <c r="F41" t="s">
        <v>27</v>
      </c>
      <c r="G41">
        <v>14</v>
      </c>
      <c r="H41" s="3">
        <v>3200</v>
      </c>
      <c r="I41" s="4">
        <v>0.06</v>
      </c>
      <c r="J41">
        <f t="shared" si="0"/>
        <v>42112</v>
      </c>
      <c r="K41">
        <f t="shared" si="1"/>
        <v>2688</v>
      </c>
      <c r="L41" t="str">
        <f>VLOOKUP(C41,customers_copy!$A$1:$E$22,2,0)</f>
        <v>TrueValue</v>
      </c>
      <c r="M41" t="str">
        <f>VLOOKUP(C41,customers_copy!$A$1:$E$22,4,0)</f>
        <v>Wholesale</v>
      </c>
    </row>
  </sheetData>
  <conditionalFormatting sqref="I2:I41">
    <cfRule type="cellIs" dxfId="2" priority="1" operator="greaterThanOrEqual">
      <formula>0.1</formula>
    </cfRule>
  </conditionalFormatting>
  <conditionalFormatting sqref="J2:J41">
    <cfRule type="cellIs" dxfId="1" priority="6" operator="greaterThan">
      <formula>50000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64D0-C138-4A53-94B7-E27490E72551}">
  <sheetPr filterMode="1"/>
  <dimension ref="A1:S52"/>
  <sheetViews>
    <sheetView topLeftCell="S16" workbookViewId="0">
      <selection activeCell="R49" sqref="R49"/>
    </sheetView>
  </sheetViews>
  <sheetFormatPr defaultRowHeight="14.5"/>
  <cols>
    <col min="2" max="2" width="12.90625" customWidth="1"/>
    <col min="10" max="10" width="14.54296875" customWidth="1"/>
    <col min="17" max="17" width="12.36328125" bestFit="1" customWidth="1"/>
    <col min="18" max="18" width="15.81640625" bestFit="1" customWidth="1"/>
    <col min="27" max="27" width="13" bestFit="1" customWidth="1"/>
    <col min="28" max="28" width="19" bestFit="1" customWidth="1"/>
  </cols>
  <sheetData>
    <row r="1" spans="1:17">
      <c r="A1" t="s">
        <v>171</v>
      </c>
    </row>
    <row r="2" spans="1:17" ht="29">
      <c r="A2" s="1" t="s">
        <v>59</v>
      </c>
      <c r="B2" s="1" t="s">
        <v>60</v>
      </c>
      <c r="C2" s="1" t="s">
        <v>0</v>
      </c>
      <c r="D2" s="1" t="s">
        <v>61</v>
      </c>
      <c r="E2" s="1" t="s">
        <v>62</v>
      </c>
      <c r="F2" s="1" t="s">
        <v>2</v>
      </c>
      <c r="G2" s="1" t="s">
        <v>63</v>
      </c>
      <c r="H2" s="1" t="s">
        <v>64</v>
      </c>
      <c r="I2" s="1" t="s">
        <v>65</v>
      </c>
      <c r="J2" s="1" t="s">
        <v>142</v>
      </c>
      <c r="K2" s="1" t="s">
        <v>143</v>
      </c>
      <c r="L2" s="1" t="s">
        <v>148</v>
      </c>
      <c r="M2" s="1" t="s">
        <v>149</v>
      </c>
    </row>
    <row r="3" spans="1:17">
      <c r="A3" t="s">
        <v>74</v>
      </c>
      <c r="B3" s="2">
        <v>46034</v>
      </c>
      <c r="C3" t="s">
        <v>22</v>
      </c>
      <c r="D3" t="s">
        <v>75</v>
      </c>
      <c r="E3" t="s">
        <v>68</v>
      </c>
      <c r="F3" t="s">
        <v>12</v>
      </c>
      <c r="G3">
        <v>9</v>
      </c>
      <c r="H3" s="3">
        <v>14500</v>
      </c>
      <c r="I3" s="4">
        <v>0.12</v>
      </c>
      <c r="J3">
        <f t="shared" ref="J3:J42" si="0">(G3*H3)*(1-I3)</f>
        <v>114840</v>
      </c>
      <c r="K3">
        <f t="shared" ref="K3:K42" si="1">G3*H3*I3</f>
        <v>15660</v>
      </c>
      <c r="L3" t="str">
        <f>VLOOKUP(C3,customers_copy!$A$1:$E$22,2,0)</f>
        <v>Elite Supplies</v>
      </c>
      <c r="M3" t="str">
        <f>VLOOKUP(C3,customers_copy!$A$1:$E$22,4,0)</f>
        <v>Wholesale</v>
      </c>
    </row>
    <row r="4" spans="1:17">
      <c r="A4" t="s">
        <v>91</v>
      </c>
      <c r="B4" s="2">
        <v>46064</v>
      </c>
      <c r="C4" t="s">
        <v>45</v>
      </c>
      <c r="D4" t="s">
        <v>75</v>
      </c>
      <c r="E4" t="s">
        <v>68</v>
      </c>
      <c r="F4" t="s">
        <v>16</v>
      </c>
      <c r="G4">
        <v>8</v>
      </c>
      <c r="H4" s="3">
        <v>14500</v>
      </c>
      <c r="I4" s="4">
        <v>0.15</v>
      </c>
      <c r="J4">
        <f t="shared" si="0"/>
        <v>98600</v>
      </c>
      <c r="K4">
        <f t="shared" si="1"/>
        <v>17400</v>
      </c>
      <c r="L4" t="str">
        <f>VLOOKUP(C4,customers_copy!$A$1:$E$22,2,0)</f>
        <v>Nova Wholesale</v>
      </c>
      <c r="M4" t="str">
        <f>VLOOKUP(C4,customers_copy!$A$1:$E$22,4,0)</f>
        <v>Wholesale</v>
      </c>
    </row>
    <row r="5" spans="1:17">
      <c r="A5" t="s">
        <v>98</v>
      </c>
      <c r="B5" s="2">
        <v>46083</v>
      </c>
      <c r="C5" t="s">
        <v>5</v>
      </c>
      <c r="D5" t="s">
        <v>75</v>
      </c>
      <c r="E5" t="s">
        <v>68</v>
      </c>
      <c r="F5" t="s">
        <v>7</v>
      </c>
      <c r="G5">
        <v>7</v>
      </c>
      <c r="H5" s="3">
        <v>14500</v>
      </c>
      <c r="I5" s="4">
        <v>0.1</v>
      </c>
      <c r="J5">
        <f t="shared" si="0"/>
        <v>91350</v>
      </c>
      <c r="K5">
        <f t="shared" si="1"/>
        <v>10150</v>
      </c>
      <c r="L5" t="str">
        <f>VLOOKUP(C5,customers_copy!$A$1:$E$22,2,0)</f>
        <v>Aarav Retail</v>
      </c>
      <c r="M5" t="str">
        <f>VLOOKUP(C5,customers_copy!$A$1:$E$22,4,0)</f>
        <v>Retail</v>
      </c>
    </row>
    <row r="6" spans="1:17">
      <c r="A6" t="s">
        <v>106</v>
      </c>
      <c r="B6" s="2">
        <v>46107</v>
      </c>
      <c r="C6" t="s">
        <v>35</v>
      </c>
      <c r="D6" t="s">
        <v>75</v>
      </c>
      <c r="E6" t="s">
        <v>68</v>
      </c>
      <c r="F6" t="s">
        <v>7</v>
      </c>
      <c r="G6">
        <v>6</v>
      </c>
      <c r="H6" s="3">
        <v>14500</v>
      </c>
      <c r="I6" s="4">
        <v>0.11</v>
      </c>
      <c r="J6">
        <f t="shared" si="0"/>
        <v>77430</v>
      </c>
      <c r="K6">
        <f t="shared" si="1"/>
        <v>9570</v>
      </c>
      <c r="L6" t="str">
        <f>VLOOKUP(C6,customers_copy!$A$1:$E$22,2,0)</f>
        <v>Ivy Traders</v>
      </c>
      <c r="M6" t="str">
        <f>VLOOKUP(C6,customers_copy!$A$1:$E$22,4,0)</f>
        <v>Wholesale</v>
      </c>
    </row>
    <row r="7" spans="1:17" hidden="1">
      <c r="A7" t="s">
        <v>110</v>
      </c>
      <c r="B7" s="2">
        <v>46120</v>
      </c>
      <c r="C7" t="s">
        <v>43</v>
      </c>
      <c r="D7" t="s">
        <v>77</v>
      </c>
      <c r="E7" t="s">
        <v>73</v>
      </c>
      <c r="F7" t="s">
        <v>7</v>
      </c>
      <c r="G7">
        <v>5</v>
      </c>
      <c r="H7" s="3">
        <v>12000</v>
      </c>
      <c r="I7" s="4">
        <v>0.05</v>
      </c>
      <c r="J7">
        <f t="shared" si="0"/>
        <v>57000</v>
      </c>
      <c r="K7">
        <f t="shared" si="1"/>
        <v>3000</v>
      </c>
      <c r="L7" t="str">
        <f>VLOOKUP(C7,customers_copy!$A$1:$E$22,2,0)</f>
        <v>Metro Bazaar</v>
      </c>
      <c r="M7" t="str">
        <f>VLOOKUP(C7,customers_copy!$A$1:$E$22,4,0)</f>
        <v>Retail</v>
      </c>
    </row>
    <row r="8" spans="1:17" hidden="1">
      <c r="A8" t="s">
        <v>109</v>
      </c>
      <c r="B8" s="2">
        <v>46117</v>
      </c>
      <c r="C8" t="s">
        <v>41</v>
      </c>
      <c r="D8" t="s">
        <v>72</v>
      </c>
      <c r="E8" t="s">
        <v>73</v>
      </c>
      <c r="F8" t="s">
        <v>27</v>
      </c>
      <c r="G8">
        <v>8</v>
      </c>
      <c r="H8" s="3">
        <v>7200</v>
      </c>
      <c r="I8" s="4">
        <v>7.0000000000000007E-2</v>
      </c>
      <c r="J8">
        <f t="shared" si="0"/>
        <v>53568</v>
      </c>
      <c r="K8">
        <f t="shared" si="1"/>
        <v>4032.0000000000005</v>
      </c>
      <c r="L8" t="str">
        <f>VLOOKUP(C8,customers_copy!$A$1:$E$22,2,0)</f>
        <v>Lotus Retail</v>
      </c>
      <c r="M8" t="str">
        <f>VLOOKUP(C8,customers_copy!$A$1:$E$22,4,0)</f>
        <v>Retail</v>
      </c>
    </row>
    <row r="9" spans="1:17">
      <c r="A9" t="s">
        <v>95</v>
      </c>
      <c r="B9" s="2">
        <v>46076</v>
      </c>
      <c r="C9" t="s">
        <v>53</v>
      </c>
      <c r="D9" t="s">
        <v>85</v>
      </c>
      <c r="E9" t="s">
        <v>68</v>
      </c>
      <c r="F9" t="s">
        <v>16</v>
      </c>
      <c r="G9">
        <v>6</v>
      </c>
      <c r="H9" s="3">
        <v>9800</v>
      </c>
      <c r="I9" s="4">
        <v>0.1</v>
      </c>
      <c r="J9">
        <f t="shared" si="0"/>
        <v>52920</v>
      </c>
      <c r="K9">
        <f t="shared" si="1"/>
        <v>5880</v>
      </c>
      <c r="L9" t="str">
        <f>VLOOKUP(C9,customers_copy!$A$1:$E$22,2,0)</f>
        <v>Royal Foods</v>
      </c>
      <c r="M9" t="str">
        <f>VLOOKUP(C9,customers_copy!$A$1:$E$22,4,0)</f>
        <v>Wholesale</v>
      </c>
    </row>
    <row r="10" spans="1:17">
      <c r="A10" t="s">
        <v>113</v>
      </c>
      <c r="B10" s="2">
        <v>46129</v>
      </c>
      <c r="C10" t="s">
        <v>49</v>
      </c>
      <c r="D10" t="s">
        <v>75</v>
      </c>
      <c r="E10" t="s">
        <v>68</v>
      </c>
      <c r="F10" t="s">
        <v>27</v>
      </c>
      <c r="G10">
        <v>4</v>
      </c>
      <c r="H10" s="3">
        <v>14500</v>
      </c>
      <c r="I10" s="4">
        <v>0.1</v>
      </c>
      <c r="J10">
        <f t="shared" si="0"/>
        <v>52200</v>
      </c>
      <c r="K10">
        <f t="shared" si="1"/>
        <v>5800</v>
      </c>
      <c r="L10" t="str">
        <f>VLOOKUP(C10,customers_copy!$A$1:$E$22,2,0)</f>
        <v>Prime Grocers</v>
      </c>
      <c r="M10" t="str">
        <f>VLOOKUP(C10,customers_copy!$A$1:$E$22,4,0)</f>
        <v>Retail</v>
      </c>
    </row>
    <row r="11" spans="1:17" hidden="1">
      <c r="A11" t="s">
        <v>88</v>
      </c>
      <c r="B11" s="2">
        <v>46055</v>
      </c>
      <c r="C11" t="s">
        <v>39</v>
      </c>
      <c r="D11" t="s">
        <v>72</v>
      </c>
      <c r="E11" t="s">
        <v>73</v>
      </c>
      <c r="F11" t="s">
        <v>12</v>
      </c>
      <c r="G11">
        <v>7</v>
      </c>
      <c r="H11" s="3">
        <v>7200</v>
      </c>
      <c r="I11" s="4">
        <v>0.08</v>
      </c>
      <c r="J11">
        <f t="shared" si="0"/>
        <v>46368</v>
      </c>
      <c r="K11">
        <f t="shared" si="1"/>
        <v>4032</v>
      </c>
      <c r="L11" t="str">
        <f>VLOOKUP(C11,customers_copy!$A$1:$E$22,2,0)</f>
        <v>Kaveri Foods</v>
      </c>
      <c r="M11" t="str">
        <f>VLOOKUP(C11,customers_copy!$A$1:$E$22,4,0)</f>
        <v>Wholesale</v>
      </c>
    </row>
    <row r="12" spans="1:17" hidden="1">
      <c r="A12" t="s">
        <v>76</v>
      </c>
      <c r="B12" s="2">
        <v>46037</v>
      </c>
      <c r="C12" t="s">
        <v>19</v>
      </c>
      <c r="D12" t="s">
        <v>77</v>
      </c>
      <c r="E12" t="s">
        <v>73</v>
      </c>
      <c r="F12" t="s">
        <v>7</v>
      </c>
      <c r="G12">
        <v>4</v>
      </c>
      <c r="H12" s="3">
        <v>12000</v>
      </c>
      <c r="I12" s="4">
        <v>0.05</v>
      </c>
      <c r="J12">
        <f t="shared" si="0"/>
        <v>45600</v>
      </c>
      <c r="K12">
        <f t="shared" si="1"/>
        <v>2400</v>
      </c>
      <c r="L12" t="str">
        <f>VLOOKUP(C12,customers_copy!$A$1:$E$22,2,0)</f>
        <v>Delta Stores</v>
      </c>
      <c r="M12" t="str">
        <f>VLOOKUP(C12,customers_copy!$A$1:$E$22,4,0)</f>
        <v>Retail</v>
      </c>
    </row>
    <row r="13" spans="1:17">
      <c r="A13" t="s">
        <v>116</v>
      </c>
      <c r="B13" s="2">
        <v>46138</v>
      </c>
      <c r="C13" t="s">
        <v>55</v>
      </c>
      <c r="D13" t="s">
        <v>85</v>
      </c>
      <c r="E13" t="s">
        <v>68</v>
      </c>
      <c r="F13" t="s">
        <v>12</v>
      </c>
      <c r="G13">
        <v>5</v>
      </c>
      <c r="H13" s="3">
        <v>9800</v>
      </c>
      <c r="I13" s="4">
        <v>0.08</v>
      </c>
      <c r="J13">
        <f t="shared" si="0"/>
        <v>45080</v>
      </c>
      <c r="K13">
        <f t="shared" si="1"/>
        <v>3920</v>
      </c>
      <c r="L13" t="str">
        <f>VLOOKUP(C13,customers_copy!$A$1:$E$22,2,0)</f>
        <v>Sunrise Mart</v>
      </c>
      <c r="M13" t="str">
        <f>VLOOKUP(C13,customers_copy!$A$1:$E$22,4,0)</f>
        <v>Retail</v>
      </c>
    </row>
    <row r="14" spans="1:17">
      <c r="A14" t="s">
        <v>84</v>
      </c>
      <c r="B14" s="2">
        <v>46048</v>
      </c>
      <c r="C14" t="s">
        <v>35</v>
      </c>
      <c r="D14" t="s">
        <v>85</v>
      </c>
      <c r="E14" t="s">
        <v>68</v>
      </c>
      <c r="F14" t="s">
        <v>7</v>
      </c>
      <c r="G14">
        <v>5</v>
      </c>
      <c r="H14" s="3">
        <v>9800</v>
      </c>
      <c r="I14" s="4">
        <v>0.1</v>
      </c>
      <c r="J14">
        <f t="shared" si="0"/>
        <v>44100</v>
      </c>
      <c r="K14">
        <f t="shared" si="1"/>
        <v>4900</v>
      </c>
      <c r="L14" t="str">
        <f>VLOOKUP(C14,customers_copy!$A$1:$E$22,2,0)</f>
        <v>Ivy Traders</v>
      </c>
      <c r="M14" t="str">
        <f>VLOOKUP(C14,customers_copy!$A$1:$E$22,4,0)</f>
        <v>Wholesale</v>
      </c>
    </row>
    <row r="15" spans="1:17">
      <c r="A15" t="s">
        <v>117</v>
      </c>
      <c r="B15" s="2">
        <v>46141</v>
      </c>
      <c r="C15" t="s">
        <v>57</v>
      </c>
      <c r="D15" t="s">
        <v>81</v>
      </c>
      <c r="E15" t="s">
        <v>68</v>
      </c>
      <c r="F15" t="s">
        <v>27</v>
      </c>
      <c r="G15">
        <v>14</v>
      </c>
      <c r="H15" s="3">
        <v>3200</v>
      </c>
      <c r="I15" s="4">
        <v>0.06</v>
      </c>
      <c r="J15">
        <f t="shared" si="0"/>
        <v>42112</v>
      </c>
      <c r="K15">
        <f t="shared" si="1"/>
        <v>2688</v>
      </c>
      <c r="L15" t="str">
        <f>VLOOKUP(C15,customers_copy!$A$1:$E$22,2,0)</f>
        <v>TrueValue</v>
      </c>
      <c r="M15" t="str">
        <f>VLOOKUP(C15,customers_copy!$A$1:$E$22,4,0)</f>
        <v>Wholesale</v>
      </c>
    </row>
    <row r="16" spans="1:17">
      <c r="A16" t="s">
        <v>107</v>
      </c>
      <c r="B16" s="2">
        <v>46110</v>
      </c>
      <c r="C16" t="s">
        <v>37</v>
      </c>
      <c r="D16" t="s">
        <v>83</v>
      </c>
      <c r="E16" t="s">
        <v>68</v>
      </c>
      <c r="F16" t="s">
        <v>16</v>
      </c>
      <c r="G16">
        <v>21</v>
      </c>
      <c r="H16" s="3">
        <v>2100</v>
      </c>
      <c r="I16" s="4">
        <v>0.05</v>
      </c>
      <c r="J16">
        <f t="shared" si="0"/>
        <v>41895</v>
      </c>
      <c r="K16">
        <f t="shared" si="1"/>
        <v>2205</v>
      </c>
      <c r="L16" t="str">
        <f>VLOOKUP(C16,customers_copy!$A$1:$E$22,2,0)</f>
        <v>Jupiter Mart</v>
      </c>
      <c r="M16" t="str">
        <f>VLOOKUP(C16,customers_copy!$A$1:$E$22,4,0)</f>
        <v>Retail</v>
      </c>
      <c r="Q16" t="s">
        <v>133</v>
      </c>
    </row>
    <row r="17" spans="1:18" hidden="1">
      <c r="A17" t="s">
        <v>71</v>
      </c>
      <c r="B17" s="2">
        <v>46031</v>
      </c>
      <c r="C17" t="s">
        <v>10</v>
      </c>
      <c r="D17" t="s">
        <v>72</v>
      </c>
      <c r="E17" t="s">
        <v>73</v>
      </c>
      <c r="F17" t="s">
        <v>12</v>
      </c>
      <c r="G17">
        <v>6</v>
      </c>
      <c r="H17" s="3">
        <v>7200</v>
      </c>
      <c r="I17" s="4">
        <v>0.08</v>
      </c>
      <c r="J17">
        <f t="shared" si="0"/>
        <v>39744</v>
      </c>
      <c r="K17">
        <f t="shared" si="1"/>
        <v>3456</v>
      </c>
      <c r="L17" t="str">
        <f>VLOOKUP(C17,customers_copy!$A$1:$E$22,2,0)</f>
        <v>BlueMart</v>
      </c>
      <c r="M17" t="str">
        <f>VLOOKUP(C17,customers_copy!$A$1:$E$22,4,0)</f>
        <v>Retail</v>
      </c>
    </row>
    <row r="18" spans="1:18">
      <c r="A18" t="s">
        <v>100</v>
      </c>
      <c r="B18" s="2">
        <v>46089</v>
      </c>
      <c r="C18" t="s">
        <v>10</v>
      </c>
      <c r="D18" t="s">
        <v>70</v>
      </c>
      <c r="E18" t="s">
        <v>68</v>
      </c>
      <c r="F18" t="s">
        <v>12</v>
      </c>
      <c r="G18">
        <v>22</v>
      </c>
      <c r="H18" s="3">
        <v>1800</v>
      </c>
      <c r="I18" s="4">
        <v>0.05</v>
      </c>
      <c r="J18">
        <f t="shared" si="0"/>
        <v>37620</v>
      </c>
      <c r="K18">
        <f t="shared" si="1"/>
        <v>1980</v>
      </c>
      <c r="L18" t="str">
        <f>VLOOKUP(C18,customers_copy!$A$1:$E$22,2,0)</f>
        <v>BlueMart</v>
      </c>
      <c r="M18" t="str">
        <f>VLOOKUP(C18,customers_copy!$A$1:$E$22,4,0)</f>
        <v>Retail</v>
      </c>
      <c r="Q18" s="8" t="s">
        <v>2</v>
      </c>
      <c r="R18" t="s">
        <v>7</v>
      </c>
    </row>
    <row r="19" spans="1:18">
      <c r="A19" t="s">
        <v>82</v>
      </c>
      <c r="B19" s="2">
        <v>46045</v>
      </c>
      <c r="C19" t="s">
        <v>32</v>
      </c>
      <c r="D19" t="s">
        <v>83</v>
      </c>
      <c r="E19" t="s">
        <v>68</v>
      </c>
      <c r="F19" t="s">
        <v>12</v>
      </c>
      <c r="G19">
        <v>18</v>
      </c>
      <c r="H19" s="3">
        <v>2100</v>
      </c>
      <c r="I19" s="4">
        <v>0.05</v>
      </c>
      <c r="J19">
        <f t="shared" si="0"/>
        <v>35910</v>
      </c>
      <c r="K19">
        <f t="shared" si="1"/>
        <v>1890</v>
      </c>
      <c r="L19" t="str">
        <f>VLOOKUP(C19,customers_copy!$A$1:$E$22,2,0)</f>
        <v>Horizon Cafe</v>
      </c>
      <c r="M19" t="str">
        <f>VLOOKUP(C19,customers_copy!$A$1:$E$22,4,0)</f>
        <v>Food Service</v>
      </c>
    </row>
    <row r="20" spans="1:18">
      <c r="A20" t="s">
        <v>80</v>
      </c>
      <c r="B20" s="2">
        <v>46042</v>
      </c>
      <c r="C20" t="s">
        <v>29</v>
      </c>
      <c r="D20" t="s">
        <v>81</v>
      </c>
      <c r="E20" t="s">
        <v>68</v>
      </c>
      <c r="F20" t="s">
        <v>16</v>
      </c>
      <c r="G20">
        <v>12</v>
      </c>
      <c r="H20" s="3">
        <v>3200</v>
      </c>
      <c r="I20" s="4">
        <v>7.0000000000000007E-2</v>
      </c>
      <c r="J20">
        <f t="shared" si="0"/>
        <v>35712</v>
      </c>
      <c r="K20">
        <f t="shared" si="1"/>
        <v>2688.0000000000005</v>
      </c>
      <c r="L20" t="str">
        <f>VLOOKUP(C20,customers_copy!$A$1:$E$22,2,0)</f>
        <v>Green Valley</v>
      </c>
      <c r="M20" t="str">
        <f>VLOOKUP(C20,customers_copy!$A$1:$E$22,4,0)</f>
        <v>Retail</v>
      </c>
      <c r="Q20" s="8" t="s">
        <v>172</v>
      </c>
      <c r="R20" t="s">
        <v>174</v>
      </c>
    </row>
    <row r="21" spans="1:18">
      <c r="A21" t="s">
        <v>102</v>
      </c>
      <c r="B21" s="2">
        <v>46095</v>
      </c>
      <c r="C21" t="s">
        <v>19</v>
      </c>
      <c r="D21" t="s">
        <v>85</v>
      </c>
      <c r="E21" t="s">
        <v>68</v>
      </c>
      <c r="F21" t="s">
        <v>7</v>
      </c>
      <c r="G21">
        <v>4</v>
      </c>
      <c r="H21" s="3">
        <v>9800</v>
      </c>
      <c r="I21" s="4">
        <v>0.09</v>
      </c>
      <c r="J21">
        <f t="shared" si="0"/>
        <v>35672</v>
      </c>
      <c r="K21">
        <f t="shared" si="1"/>
        <v>3528</v>
      </c>
      <c r="L21" t="str">
        <f>VLOOKUP(C21,customers_copy!$A$1:$E$22,2,0)</f>
        <v>Delta Stores</v>
      </c>
      <c r="M21" t="str">
        <f>VLOOKUP(C21,customers_copy!$A$1:$E$22,4,0)</f>
        <v>Retail</v>
      </c>
      <c r="Q21" s="9" t="s">
        <v>77</v>
      </c>
      <c r="R21" s="14">
        <v>102600</v>
      </c>
    </row>
    <row r="22" spans="1:18" hidden="1">
      <c r="A22" t="s">
        <v>92</v>
      </c>
      <c r="B22" s="2">
        <v>46067</v>
      </c>
      <c r="C22" t="s">
        <v>47</v>
      </c>
      <c r="D22" t="s">
        <v>77</v>
      </c>
      <c r="E22" t="s">
        <v>73</v>
      </c>
      <c r="F22" t="s">
        <v>12</v>
      </c>
      <c r="G22">
        <v>3</v>
      </c>
      <c r="H22" s="3">
        <v>12000</v>
      </c>
      <c r="I22" s="4">
        <v>0.05</v>
      </c>
      <c r="J22">
        <f t="shared" si="0"/>
        <v>34200</v>
      </c>
      <c r="K22">
        <f t="shared" si="1"/>
        <v>1800</v>
      </c>
      <c r="L22" t="str">
        <f>VLOOKUP(C22,customers_copy!$A$1:$E$22,2,0)</f>
        <v>Orchid Cafe</v>
      </c>
      <c r="M22" t="str">
        <f>VLOOKUP(C22,customers_copy!$A$1:$E$22,4,0)</f>
        <v>Food Service</v>
      </c>
      <c r="Q22" s="9" t="s">
        <v>67</v>
      </c>
      <c r="R22" s="14">
        <v>40375</v>
      </c>
    </row>
    <row r="23" spans="1:18">
      <c r="A23" t="s">
        <v>89</v>
      </c>
      <c r="B23" s="2">
        <v>46058</v>
      </c>
      <c r="C23" t="s">
        <v>41</v>
      </c>
      <c r="D23" t="s">
        <v>70</v>
      </c>
      <c r="E23" t="s">
        <v>68</v>
      </c>
      <c r="F23" t="s">
        <v>27</v>
      </c>
      <c r="G23">
        <v>20</v>
      </c>
      <c r="H23" s="3">
        <v>1800</v>
      </c>
      <c r="I23" s="4">
        <v>0.06</v>
      </c>
      <c r="J23">
        <f t="shared" si="0"/>
        <v>33840</v>
      </c>
      <c r="K23">
        <f t="shared" si="1"/>
        <v>2160</v>
      </c>
      <c r="L23" t="str">
        <f>VLOOKUP(C23,customers_copy!$A$1:$E$22,2,0)</f>
        <v>Lotus Retail</v>
      </c>
      <c r="M23" t="str">
        <f>VLOOKUP(C23,customers_copy!$A$1:$E$22,4,0)</f>
        <v>Retail</v>
      </c>
      <c r="Q23" s="9" t="s">
        <v>75</v>
      </c>
      <c r="R23" s="14">
        <v>168780</v>
      </c>
    </row>
    <row r="24" spans="1:18" hidden="1">
      <c r="A24" t="s">
        <v>99</v>
      </c>
      <c r="B24" s="2">
        <v>46086</v>
      </c>
      <c r="C24" t="s">
        <v>14</v>
      </c>
      <c r="D24" t="s">
        <v>72</v>
      </c>
      <c r="E24" t="s">
        <v>73</v>
      </c>
      <c r="F24" t="s">
        <v>16</v>
      </c>
      <c r="G24">
        <v>5</v>
      </c>
      <c r="H24" s="3">
        <v>7200</v>
      </c>
      <c r="I24" s="4">
        <v>0.08</v>
      </c>
      <c r="J24">
        <f t="shared" si="0"/>
        <v>33120</v>
      </c>
      <c r="K24">
        <f t="shared" si="1"/>
        <v>2880</v>
      </c>
      <c r="L24" t="str">
        <f>VLOOKUP(C24,customers_copy!$A$1:$E$22,2,0)</f>
        <v>Crest Foods</v>
      </c>
      <c r="M24" t="str">
        <f>VLOOKUP(C24,customers_copy!$A$1:$E$22,4,0)</f>
        <v>Wholesale</v>
      </c>
      <c r="Q24" s="9" t="s">
        <v>85</v>
      </c>
      <c r="R24" s="14">
        <v>79772</v>
      </c>
    </row>
    <row r="25" spans="1:18">
      <c r="A25" t="s">
        <v>111</v>
      </c>
      <c r="B25" s="2">
        <v>46123</v>
      </c>
      <c r="C25" t="s">
        <v>45</v>
      </c>
      <c r="D25" t="s">
        <v>70</v>
      </c>
      <c r="E25" t="s">
        <v>68</v>
      </c>
      <c r="F25" t="s">
        <v>16</v>
      </c>
      <c r="G25">
        <v>19</v>
      </c>
      <c r="H25" s="3">
        <v>1800</v>
      </c>
      <c r="I25" s="4">
        <v>0.04</v>
      </c>
      <c r="J25">
        <f t="shared" si="0"/>
        <v>32832</v>
      </c>
      <c r="K25">
        <f t="shared" si="1"/>
        <v>1368</v>
      </c>
      <c r="L25" t="str">
        <f>VLOOKUP(C25,customers_copy!$A$1:$E$22,2,0)</f>
        <v>Nova Wholesale</v>
      </c>
      <c r="M25" t="str">
        <f>VLOOKUP(C25,customers_copy!$A$1:$E$22,4,0)</f>
        <v>Wholesale</v>
      </c>
      <c r="Q25" s="9" t="s">
        <v>81</v>
      </c>
      <c r="R25" s="14">
        <v>26784</v>
      </c>
    </row>
    <row r="26" spans="1:18">
      <c r="A26" t="s">
        <v>96</v>
      </c>
      <c r="B26" s="2">
        <v>46078</v>
      </c>
      <c r="C26" t="s">
        <v>55</v>
      </c>
      <c r="D26" t="s">
        <v>83</v>
      </c>
      <c r="E26" t="s">
        <v>68</v>
      </c>
      <c r="F26" t="s">
        <v>12</v>
      </c>
      <c r="G26">
        <v>16</v>
      </c>
      <c r="H26" s="3">
        <v>2100</v>
      </c>
      <c r="I26" s="4">
        <v>0.05</v>
      </c>
      <c r="J26">
        <f t="shared" si="0"/>
        <v>31920</v>
      </c>
      <c r="K26">
        <f t="shared" si="1"/>
        <v>1680</v>
      </c>
      <c r="L26" t="str">
        <f>VLOOKUP(C26,customers_copy!$A$1:$E$22,2,0)</f>
        <v>Sunrise Mart</v>
      </c>
      <c r="M26" t="str">
        <f>VLOOKUP(C26,customers_copy!$A$1:$E$22,4,0)</f>
        <v>Retail</v>
      </c>
      <c r="Q26" s="9" t="s">
        <v>173</v>
      </c>
      <c r="R26" s="14">
        <v>418311</v>
      </c>
    </row>
    <row r="27" spans="1:18">
      <c r="A27" t="s">
        <v>105</v>
      </c>
      <c r="B27" s="2">
        <v>46104</v>
      </c>
      <c r="C27" t="s">
        <v>32</v>
      </c>
      <c r="D27" t="s">
        <v>81</v>
      </c>
      <c r="E27" t="s">
        <v>68</v>
      </c>
      <c r="F27" t="s">
        <v>12</v>
      </c>
      <c r="G27">
        <v>10</v>
      </c>
      <c r="H27" s="3">
        <v>3200</v>
      </c>
      <c r="I27" s="4">
        <v>0.06</v>
      </c>
      <c r="J27">
        <f t="shared" si="0"/>
        <v>30080</v>
      </c>
      <c r="K27">
        <f t="shared" si="1"/>
        <v>1920</v>
      </c>
      <c r="L27" t="str">
        <f>VLOOKUP(C27,customers_copy!$A$1:$E$22,2,0)</f>
        <v>Horizon Cafe</v>
      </c>
      <c r="M27" t="str">
        <f>VLOOKUP(C27,customers_copy!$A$1:$E$22,4,0)</f>
        <v>Food Service</v>
      </c>
    </row>
    <row r="28" spans="1:18" hidden="1">
      <c r="A28" t="s">
        <v>103</v>
      </c>
      <c r="B28" s="2">
        <v>46098</v>
      </c>
      <c r="C28" t="s">
        <v>25</v>
      </c>
      <c r="D28" t="s">
        <v>87</v>
      </c>
      <c r="E28" t="s">
        <v>73</v>
      </c>
      <c r="F28" t="s">
        <v>27</v>
      </c>
      <c r="G28">
        <v>17</v>
      </c>
      <c r="H28" s="3">
        <v>1650</v>
      </c>
      <c r="I28" s="4">
        <v>0.03</v>
      </c>
      <c r="J28">
        <f t="shared" si="0"/>
        <v>27208.5</v>
      </c>
      <c r="K28">
        <f t="shared" si="1"/>
        <v>841.5</v>
      </c>
      <c r="L28" t="str">
        <f>VLOOKUP(C28,customers_copy!$A$1:$E$22,2,0)</f>
        <v>Fresh Basket</v>
      </c>
      <c r="M28" t="str">
        <f>VLOOKUP(C28,customers_copy!$A$1:$E$22,4,0)</f>
        <v>Retail</v>
      </c>
    </row>
    <row r="29" spans="1:18">
      <c r="A29" t="s">
        <v>108</v>
      </c>
      <c r="B29" s="2">
        <v>46114</v>
      </c>
      <c r="C29" t="s">
        <v>39</v>
      </c>
      <c r="D29" t="s">
        <v>85</v>
      </c>
      <c r="E29" t="s">
        <v>68</v>
      </c>
      <c r="F29" t="s">
        <v>12</v>
      </c>
      <c r="G29">
        <v>3</v>
      </c>
      <c r="H29" s="3">
        <v>9800</v>
      </c>
      <c r="I29" s="4">
        <v>0.08</v>
      </c>
      <c r="J29">
        <f t="shared" si="0"/>
        <v>27048</v>
      </c>
      <c r="K29">
        <f t="shared" si="1"/>
        <v>2352</v>
      </c>
      <c r="L29" t="str">
        <f>VLOOKUP(C29,customers_copy!$A$1:$E$22,2,0)</f>
        <v>Kaveri Foods</v>
      </c>
      <c r="M29" t="str">
        <f>VLOOKUP(C29,customers_copy!$A$1:$E$22,4,0)</f>
        <v>Wholesale</v>
      </c>
    </row>
    <row r="30" spans="1:18">
      <c r="A30" t="s">
        <v>94</v>
      </c>
      <c r="B30" s="2">
        <v>46073</v>
      </c>
      <c r="C30" t="s">
        <v>51</v>
      </c>
      <c r="D30" t="s">
        <v>81</v>
      </c>
      <c r="E30" t="s">
        <v>68</v>
      </c>
      <c r="F30" t="s">
        <v>7</v>
      </c>
      <c r="G30">
        <v>9</v>
      </c>
      <c r="H30" s="3">
        <v>3200</v>
      </c>
      <c r="I30" s="4">
        <v>7.0000000000000007E-2</v>
      </c>
      <c r="J30">
        <f t="shared" si="0"/>
        <v>26784</v>
      </c>
      <c r="K30">
        <f t="shared" si="1"/>
        <v>2016.0000000000002</v>
      </c>
      <c r="L30" t="str">
        <f>VLOOKUP(C30,customers_copy!$A$1:$E$22,2,0)</f>
        <v>QuickBuy</v>
      </c>
      <c r="M30" t="str">
        <f>VLOOKUP(C30,customers_copy!$A$1:$E$22,4,0)</f>
        <v>Retail</v>
      </c>
    </row>
    <row r="31" spans="1:18">
      <c r="A31" t="s">
        <v>69</v>
      </c>
      <c r="B31" s="2">
        <v>46029</v>
      </c>
      <c r="C31" t="s">
        <v>14</v>
      </c>
      <c r="D31" t="s">
        <v>70</v>
      </c>
      <c r="E31" t="s">
        <v>68</v>
      </c>
      <c r="F31" t="s">
        <v>16</v>
      </c>
      <c r="G31">
        <v>15</v>
      </c>
      <c r="H31" s="3">
        <v>1800</v>
      </c>
      <c r="I31" s="4">
        <v>0.1</v>
      </c>
      <c r="J31">
        <f t="shared" si="0"/>
        <v>24300</v>
      </c>
      <c r="K31">
        <f t="shared" si="1"/>
        <v>2700</v>
      </c>
      <c r="L31" t="str">
        <f>VLOOKUP(C31,customers_copy!$A$1:$E$22,2,0)</f>
        <v>Crest Foods</v>
      </c>
      <c r="M31" t="str">
        <f>VLOOKUP(C31,customers_copy!$A$1:$E$22,4,0)</f>
        <v>Wholesale</v>
      </c>
      <c r="Q31" t="s">
        <v>134</v>
      </c>
    </row>
    <row r="32" spans="1:18" hidden="1">
      <c r="A32" t="s">
        <v>86</v>
      </c>
      <c r="B32" s="2">
        <v>46050</v>
      </c>
      <c r="C32" t="s">
        <v>37</v>
      </c>
      <c r="D32" t="s">
        <v>87</v>
      </c>
      <c r="E32" t="s">
        <v>73</v>
      </c>
      <c r="F32" t="s">
        <v>16</v>
      </c>
      <c r="G32">
        <v>14</v>
      </c>
      <c r="H32" s="3">
        <v>1650</v>
      </c>
      <c r="I32" s="4">
        <v>0.03</v>
      </c>
      <c r="J32">
        <f t="shared" si="0"/>
        <v>22407</v>
      </c>
      <c r="K32">
        <f t="shared" si="1"/>
        <v>693</v>
      </c>
      <c r="L32" t="str">
        <f>VLOOKUP(C32,customers_copy!$A$1:$E$22,2,0)</f>
        <v>Jupiter Mart</v>
      </c>
      <c r="M32" t="str">
        <f>VLOOKUP(C32,customers_copy!$A$1:$E$22,4,0)</f>
        <v>Retail</v>
      </c>
    </row>
    <row r="33" spans="1:18">
      <c r="A33" t="s">
        <v>93</v>
      </c>
      <c r="B33" s="2">
        <v>46070</v>
      </c>
      <c r="C33" t="s">
        <v>49</v>
      </c>
      <c r="D33" t="s">
        <v>79</v>
      </c>
      <c r="E33" t="s">
        <v>68</v>
      </c>
      <c r="F33" t="s">
        <v>27</v>
      </c>
      <c r="G33">
        <v>30</v>
      </c>
      <c r="H33" s="3">
        <v>750</v>
      </c>
      <c r="I33" s="4">
        <v>0.02</v>
      </c>
      <c r="J33">
        <f t="shared" si="0"/>
        <v>22050</v>
      </c>
      <c r="K33">
        <f t="shared" si="1"/>
        <v>450</v>
      </c>
      <c r="L33" t="str">
        <f>VLOOKUP(C33,customers_copy!$A$1:$E$22,2,0)</f>
        <v>Prime Grocers</v>
      </c>
      <c r="M33" t="str">
        <f>VLOOKUP(C33,customers_copy!$A$1:$E$22,4,0)</f>
        <v>Retail</v>
      </c>
    </row>
    <row r="34" spans="1:18" hidden="1">
      <c r="A34" t="s">
        <v>115</v>
      </c>
      <c r="B34" s="2">
        <v>46135</v>
      </c>
      <c r="C34" t="s">
        <v>53</v>
      </c>
      <c r="D34" t="s">
        <v>87</v>
      </c>
      <c r="E34" t="s">
        <v>73</v>
      </c>
      <c r="F34" t="s">
        <v>16</v>
      </c>
      <c r="G34">
        <v>13</v>
      </c>
      <c r="H34" s="3">
        <v>1650</v>
      </c>
      <c r="I34" s="4">
        <v>0.03</v>
      </c>
      <c r="J34">
        <f t="shared" si="0"/>
        <v>20806.5</v>
      </c>
      <c r="K34">
        <f t="shared" si="1"/>
        <v>643.5</v>
      </c>
      <c r="L34" t="str">
        <f>VLOOKUP(C34,customers_copy!$A$1:$E$22,2,0)</f>
        <v>Royal Foods</v>
      </c>
      <c r="M34" t="str">
        <f>VLOOKUP(C34,customers_copy!$A$1:$E$22,4,0)</f>
        <v>Wholesale</v>
      </c>
    </row>
    <row r="35" spans="1:18">
      <c r="A35" t="s">
        <v>104</v>
      </c>
      <c r="B35" s="2">
        <v>46101</v>
      </c>
      <c r="C35" t="s">
        <v>29</v>
      </c>
      <c r="D35" t="s">
        <v>79</v>
      </c>
      <c r="E35" t="s">
        <v>68</v>
      </c>
      <c r="F35" t="s">
        <v>16</v>
      </c>
      <c r="G35">
        <v>28</v>
      </c>
      <c r="H35" s="3">
        <v>750</v>
      </c>
      <c r="I35" s="4">
        <v>0.02</v>
      </c>
      <c r="J35">
        <f t="shared" si="0"/>
        <v>20580</v>
      </c>
      <c r="K35">
        <f t="shared" si="1"/>
        <v>420</v>
      </c>
      <c r="L35" t="str">
        <f>VLOOKUP(C35,customers_copy!$A$1:$E$22,2,0)</f>
        <v>Green Valley</v>
      </c>
      <c r="M35" t="str">
        <f>VLOOKUP(C35,customers_copy!$A$1:$E$22,4,0)</f>
        <v>Retail</v>
      </c>
    </row>
    <row r="36" spans="1:18">
      <c r="A36" t="s">
        <v>112</v>
      </c>
      <c r="B36" s="2">
        <v>46126</v>
      </c>
      <c r="C36" t="s">
        <v>47</v>
      </c>
      <c r="D36" t="s">
        <v>79</v>
      </c>
      <c r="E36" t="s">
        <v>68</v>
      </c>
      <c r="F36" t="s">
        <v>12</v>
      </c>
      <c r="G36">
        <v>26</v>
      </c>
      <c r="H36" s="3">
        <v>750</v>
      </c>
      <c r="I36" s="4">
        <v>0.02</v>
      </c>
      <c r="J36">
        <f t="shared" si="0"/>
        <v>19110</v>
      </c>
      <c r="K36">
        <f t="shared" si="1"/>
        <v>390</v>
      </c>
      <c r="L36" t="str">
        <f>VLOOKUP(C36,customers_copy!$A$1:$E$22,2,0)</f>
        <v>Orchid Cafe</v>
      </c>
      <c r="M36" t="str">
        <f>VLOOKUP(C36,customers_copy!$A$1:$E$22,4,0)</f>
        <v>Food Service</v>
      </c>
      <c r="Q36" s="8" t="s">
        <v>172</v>
      </c>
      <c r="R36" t="s">
        <v>176</v>
      </c>
    </row>
    <row r="37" spans="1:18">
      <c r="A37" t="s">
        <v>114</v>
      </c>
      <c r="B37" s="2">
        <v>46132</v>
      </c>
      <c r="C37" t="s">
        <v>51</v>
      </c>
      <c r="D37" t="s">
        <v>67</v>
      </c>
      <c r="E37" t="s">
        <v>68</v>
      </c>
      <c r="F37" t="s">
        <v>7</v>
      </c>
      <c r="G37">
        <v>16</v>
      </c>
      <c r="H37" s="3">
        <v>1250</v>
      </c>
      <c r="I37" s="4">
        <v>0.05</v>
      </c>
      <c r="J37">
        <f t="shared" si="0"/>
        <v>19000</v>
      </c>
      <c r="K37">
        <f t="shared" si="1"/>
        <v>1000</v>
      </c>
      <c r="L37" t="str">
        <f>VLOOKUP(C37,customers_copy!$A$1:$E$22,2,0)</f>
        <v>QuickBuy</v>
      </c>
      <c r="M37" t="str">
        <f>VLOOKUP(C37,customers_copy!$A$1:$E$22,4,0)</f>
        <v>Retail</v>
      </c>
      <c r="Q37" s="9" t="s">
        <v>68</v>
      </c>
      <c r="R37" s="10">
        <v>39610.689655172413</v>
      </c>
    </row>
    <row r="38" spans="1:18">
      <c r="A38" t="s">
        <v>78</v>
      </c>
      <c r="B38" s="2">
        <v>46040</v>
      </c>
      <c r="C38" t="s">
        <v>25</v>
      </c>
      <c r="D38" t="s">
        <v>79</v>
      </c>
      <c r="E38" t="s">
        <v>68</v>
      </c>
      <c r="F38" t="s">
        <v>27</v>
      </c>
      <c r="G38">
        <v>25</v>
      </c>
      <c r="H38" s="3">
        <v>750</v>
      </c>
      <c r="I38" s="4">
        <v>0</v>
      </c>
      <c r="J38">
        <f t="shared" si="0"/>
        <v>18750</v>
      </c>
      <c r="K38">
        <f t="shared" si="1"/>
        <v>0</v>
      </c>
      <c r="L38" t="str">
        <f>VLOOKUP(C38,customers_copy!$A$1:$E$22,2,0)</f>
        <v>Fresh Basket</v>
      </c>
      <c r="M38" t="str">
        <f>VLOOKUP(C38,customers_copy!$A$1:$E$22,4,0)</f>
        <v>Retail</v>
      </c>
      <c r="Q38" s="9" t="s">
        <v>73</v>
      </c>
      <c r="R38" s="10">
        <v>36147.954545454544</v>
      </c>
    </row>
    <row r="39" spans="1:18" hidden="1">
      <c r="A39" t="s">
        <v>97</v>
      </c>
      <c r="B39" s="2">
        <v>46080</v>
      </c>
      <c r="C39" t="s">
        <v>57</v>
      </c>
      <c r="D39" t="s">
        <v>87</v>
      </c>
      <c r="E39" t="s">
        <v>73</v>
      </c>
      <c r="F39" t="s">
        <v>27</v>
      </c>
      <c r="G39">
        <v>11</v>
      </c>
      <c r="H39" s="3">
        <v>1650</v>
      </c>
      <c r="I39" s="4">
        <v>0.03</v>
      </c>
      <c r="J39">
        <f t="shared" si="0"/>
        <v>17605.5</v>
      </c>
      <c r="K39">
        <f t="shared" si="1"/>
        <v>544.5</v>
      </c>
      <c r="L39" t="str">
        <f>VLOOKUP(C39,customers_copy!$A$1:$E$22,2,0)</f>
        <v>TrueValue</v>
      </c>
      <c r="M39" t="str">
        <f>VLOOKUP(C39,customers_copy!$A$1:$E$22,4,0)</f>
        <v>Wholesale</v>
      </c>
      <c r="Q39" s="9" t="s">
        <v>173</v>
      </c>
      <c r="R39">
        <v>38658.4375</v>
      </c>
    </row>
    <row r="40" spans="1:18">
      <c r="A40" t="s">
        <v>101</v>
      </c>
      <c r="B40" s="2">
        <v>46092</v>
      </c>
      <c r="C40" t="s">
        <v>22</v>
      </c>
      <c r="D40" t="s">
        <v>67</v>
      </c>
      <c r="E40" t="s">
        <v>68</v>
      </c>
      <c r="F40" t="s">
        <v>12</v>
      </c>
      <c r="G40">
        <v>13</v>
      </c>
      <c r="H40" s="3">
        <v>1250</v>
      </c>
      <c r="I40" s="4">
        <v>0.04</v>
      </c>
      <c r="J40">
        <f t="shared" si="0"/>
        <v>15600</v>
      </c>
      <c r="K40">
        <f t="shared" si="1"/>
        <v>650</v>
      </c>
      <c r="L40" t="str">
        <f>VLOOKUP(C40,customers_copy!$A$1:$E$22,2,0)</f>
        <v>Elite Supplies</v>
      </c>
      <c r="M40" t="str">
        <f>VLOOKUP(C40,customers_copy!$A$1:$E$22,4,0)</f>
        <v>Wholesale</v>
      </c>
    </row>
    <row r="41" spans="1:18">
      <c r="A41" t="s">
        <v>90</v>
      </c>
      <c r="B41" s="2">
        <v>46061</v>
      </c>
      <c r="C41" t="s">
        <v>43</v>
      </c>
      <c r="D41" t="s">
        <v>67</v>
      </c>
      <c r="E41" t="s">
        <v>68</v>
      </c>
      <c r="F41" t="s">
        <v>7</v>
      </c>
      <c r="G41">
        <v>10</v>
      </c>
      <c r="H41" s="3">
        <v>1250</v>
      </c>
      <c r="I41" s="4">
        <v>0.05</v>
      </c>
      <c r="J41">
        <f t="shared" si="0"/>
        <v>11875</v>
      </c>
      <c r="K41">
        <f t="shared" si="1"/>
        <v>625</v>
      </c>
      <c r="L41" t="str">
        <f>VLOOKUP(C41,customers_copy!$A$1:$E$22,2,0)</f>
        <v>Metro Bazaar</v>
      </c>
      <c r="M41" t="str">
        <f>VLOOKUP(C41,customers_copy!$A$1:$E$22,4,0)</f>
        <v>Retail</v>
      </c>
    </row>
    <row r="42" spans="1:18">
      <c r="A42" t="s">
        <v>66</v>
      </c>
      <c r="B42" s="2">
        <v>46027</v>
      </c>
      <c r="C42" t="s">
        <v>5</v>
      </c>
      <c r="D42" t="s">
        <v>67</v>
      </c>
      <c r="E42" t="s">
        <v>68</v>
      </c>
      <c r="F42" t="s">
        <v>7</v>
      </c>
      <c r="G42">
        <v>8</v>
      </c>
      <c r="H42" s="3">
        <v>1250</v>
      </c>
      <c r="I42" s="4">
        <v>0.05</v>
      </c>
      <c r="J42">
        <f t="shared" si="0"/>
        <v>9500</v>
      </c>
      <c r="K42">
        <f t="shared" si="1"/>
        <v>500</v>
      </c>
      <c r="L42" t="str">
        <f>VLOOKUP(C42,customers_copy!$A$1:$E$22,2,0)</f>
        <v>Aarav Retail</v>
      </c>
      <c r="M42" t="str">
        <f>VLOOKUP(C42,customers_copy!$A$1:$E$22,4,0)</f>
        <v>Retail</v>
      </c>
    </row>
    <row r="43" spans="1:18">
      <c r="Q43" t="s">
        <v>135</v>
      </c>
    </row>
    <row r="47" spans="1:18">
      <c r="Q47" s="8" t="s">
        <v>172</v>
      </c>
      <c r="R47" t="s">
        <v>177</v>
      </c>
    </row>
    <row r="48" spans="1:18">
      <c r="Q48" s="9" t="s">
        <v>12</v>
      </c>
      <c r="R48" s="14">
        <v>12</v>
      </c>
    </row>
    <row r="49" spans="17:19">
      <c r="Q49" s="9" t="s">
        <v>16</v>
      </c>
      <c r="R49" s="14">
        <v>10</v>
      </c>
    </row>
    <row r="50" spans="17:19">
      <c r="Q50" s="9" t="s">
        <v>7</v>
      </c>
      <c r="R50" s="14">
        <v>10</v>
      </c>
      <c r="S50" t="s">
        <v>178</v>
      </c>
    </row>
    <row r="51" spans="17:19">
      <c r="Q51" s="9" t="s">
        <v>27</v>
      </c>
      <c r="R51" s="14">
        <v>8</v>
      </c>
    </row>
    <row r="52" spans="17:19">
      <c r="Q52" s="9" t="s">
        <v>173</v>
      </c>
      <c r="R52" s="14">
        <v>40</v>
      </c>
    </row>
  </sheetData>
  <autoFilter ref="A2:M42" xr:uid="{B76864D0-C138-4A53-94B7-E27490E72551}">
    <filterColumn colId="4">
      <filters>
        <filter val="Electronics"/>
      </filters>
    </filterColumn>
    <sortState xmlns:xlrd2="http://schemas.microsoft.com/office/spreadsheetml/2017/richdata2" ref="A3:M42">
      <sortCondition descending="1" ref="J2:J4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5DF4-1CB2-4477-8D11-04F470BF7135}">
  <dimension ref="A1:P48"/>
  <sheetViews>
    <sheetView topLeftCell="N28" workbookViewId="0">
      <selection activeCell="G41" sqref="G41"/>
    </sheetView>
  </sheetViews>
  <sheetFormatPr defaultRowHeight="14.5"/>
  <cols>
    <col min="1" max="1" width="13.54296875" bestFit="1" customWidth="1"/>
    <col min="2" max="2" width="12.36328125" bestFit="1" customWidth="1"/>
    <col min="3" max="3" width="19" bestFit="1" customWidth="1"/>
    <col min="15" max="15" width="12.36328125" bestFit="1" customWidth="1"/>
    <col min="16" max="16" width="19" bestFit="1" customWidth="1"/>
  </cols>
  <sheetData>
    <row r="1" spans="1:16">
      <c r="A1" t="s">
        <v>136</v>
      </c>
      <c r="O1" t="s">
        <v>138</v>
      </c>
    </row>
    <row r="2" spans="1:16">
      <c r="O2" s="8" t="s">
        <v>172</v>
      </c>
      <c r="P2" t="s">
        <v>174</v>
      </c>
    </row>
    <row r="3" spans="1:16">
      <c r="O3" s="9" t="s">
        <v>77</v>
      </c>
      <c r="P3">
        <v>136800</v>
      </c>
    </row>
    <row r="4" spans="1:16">
      <c r="O4" s="9" t="s">
        <v>87</v>
      </c>
      <c r="P4">
        <v>88027.5</v>
      </c>
    </row>
    <row r="5" spans="1:16">
      <c r="A5" s="8" t="s">
        <v>172</v>
      </c>
      <c r="B5" t="s">
        <v>174</v>
      </c>
      <c r="O5" s="9" t="s">
        <v>83</v>
      </c>
      <c r="P5">
        <v>109725</v>
      </c>
    </row>
    <row r="6" spans="1:16">
      <c r="A6" s="9" t="s">
        <v>27</v>
      </c>
      <c r="B6">
        <v>267334</v>
      </c>
      <c r="O6" s="9" t="s">
        <v>70</v>
      </c>
      <c r="P6">
        <v>128592</v>
      </c>
    </row>
    <row r="7" spans="1:16">
      <c r="A7" s="11" t="s">
        <v>68</v>
      </c>
      <c r="B7">
        <v>168952</v>
      </c>
      <c r="O7" s="9" t="s">
        <v>67</v>
      </c>
      <c r="P7">
        <v>55975</v>
      </c>
    </row>
    <row r="8" spans="1:16">
      <c r="A8" s="11" t="s">
        <v>73</v>
      </c>
      <c r="B8">
        <v>98382</v>
      </c>
      <c r="O8" s="9" t="s">
        <v>75</v>
      </c>
      <c r="P8">
        <v>434420</v>
      </c>
    </row>
    <row r="9" spans="1:16">
      <c r="A9" s="9" t="s">
        <v>7</v>
      </c>
      <c r="B9">
        <v>418311</v>
      </c>
      <c r="O9" s="9" t="s">
        <v>79</v>
      </c>
      <c r="P9">
        <v>80490</v>
      </c>
    </row>
    <row r="10" spans="1:16">
      <c r="A10" s="11" t="s">
        <v>68</v>
      </c>
      <c r="B10">
        <v>315711</v>
      </c>
      <c r="O10" s="9" t="s">
        <v>72</v>
      </c>
      <c r="P10">
        <v>172800</v>
      </c>
    </row>
    <row r="11" spans="1:16">
      <c r="A11" s="11" t="s">
        <v>73</v>
      </c>
      <c r="B11">
        <v>102600</v>
      </c>
      <c r="O11" s="9" t="s">
        <v>85</v>
      </c>
      <c r="P11">
        <v>204820</v>
      </c>
    </row>
    <row r="12" spans="1:16">
      <c r="A12" s="9" t="s">
        <v>12</v>
      </c>
      <c r="B12">
        <v>477520</v>
      </c>
      <c r="O12" s="9" t="s">
        <v>81</v>
      </c>
      <c r="P12">
        <v>134688</v>
      </c>
    </row>
    <row r="13" spans="1:16">
      <c r="A13" s="11" t="s">
        <v>68</v>
      </c>
      <c r="B13">
        <v>357208</v>
      </c>
      <c r="O13" s="9" t="s">
        <v>173</v>
      </c>
      <c r="P13">
        <v>1546337.5</v>
      </c>
    </row>
    <row r="14" spans="1:16">
      <c r="A14" s="11" t="s">
        <v>73</v>
      </c>
      <c r="B14">
        <v>120312</v>
      </c>
    </row>
    <row r="15" spans="1:16">
      <c r="A15" s="9" t="s">
        <v>16</v>
      </c>
      <c r="B15">
        <v>383172.5</v>
      </c>
    </row>
    <row r="16" spans="1:16">
      <c r="A16" s="11" t="s">
        <v>68</v>
      </c>
      <c r="B16">
        <v>306839</v>
      </c>
    </row>
    <row r="17" spans="1:6">
      <c r="A17" s="11" t="s">
        <v>73</v>
      </c>
      <c r="B17">
        <v>76333.5</v>
      </c>
    </row>
    <row r="18" spans="1:6">
      <c r="A18" s="9" t="s">
        <v>173</v>
      </c>
      <c r="B18">
        <v>1546337.5</v>
      </c>
    </row>
    <row r="22" spans="1:6">
      <c r="A22" t="s">
        <v>175</v>
      </c>
      <c r="F22" t="s">
        <v>137</v>
      </c>
    </row>
    <row r="26" spans="1:6">
      <c r="A26" s="8" t="s">
        <v>172</v>
      </c>
      <c r="B26" t="s">
        <v>174</v>
      </c>
    </row>
    <row r="27" spans="1:6">
      <c r="A27" s="9" t="s">
        <v>27</v>
      </c>
      <c r="B27">
        <v>267334</v>
      </c>
    </row>
    <row r="28" spans="1:6">
      <c r="A28" s="9" t="s">
        <v>7</v>
      </c>
      <c r="B28">
        <v>418311</v>
      </c>
    </row>
    <row r="29" spans="1:6">
      <c r="A29" s="9" t="s">
        <v>12</v>
      </c>
      <c r="B29">
        <v>477520</v>
      </c>
    </row>
    <row r="30" spans="1:6">
      <c r="A30" s="9" t="s">
        <v>16</v>
      </c>
      <c r="B30">
        <v>383172.5</v>
      </c>
    </row>
    <row r="31" spans="1:6">
      <c r="A31" s="9" t="s">
        <v>173</v>
      </c>
      <c r="B31">
        <v>1546337.5</v>
      </c>
    </row>
    <row r="41" spans="2:3">
      <c r="B41" t="s">
        <v>139</v>
      </c>
    </row>
    <row r="43" spans="2:3">
      <c r="B43" s="8" t="s">
        <v>172</v>
      </c>
      <c r="C43" t="s">
        <v>174</v>
      </c>
    </row>
    <row r="44" spans="2:3">
      <c r="B44" s="9" t="s">
        <v>179</v>
      </c>
      <c r="C44">
        <v>390863</v>
      </c>
    </row>
    <row r="45" spans="2:3">
      <c r="B45" s="9" t="s">
        <v>180</v>
      </c>
      <c r="C45">
        <v>376162.5</v>
      </c>
    </row>
    <row r="46" spans="2:3">
      <c r="B46" s="9" t="s">
        <v>181</v>
      </c>
      <c r="C46">
        <v>410555.5</v>
      </c>
    </row>
    <row r="47" spans="2:3">
      <c r="B47" s="9" t="s">
        <v>182</v>
      </c>
      <c r="C47">
        <v>368756.5</v>
      </c>
    </row>
    <row r="48" spans="2:3">
      <c r="B48" s="9" t="s">
        <v>173</v>
      </c>
      <c r="C48">
        <v>1546337.5</v>
      </c>
    </row>
  </sheetData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E89C-47E8-47B6-8886-113BA72F3738}">
  <dimension ref="A1:P29"/>
  <sheetViews>
    <sheetView tabSelected="1" topLeftCell="A22" zoomScale="95" workbookViewId="0">
      <selection activeCell="I33" sqref="I33"/>
    </sheetView>
  </sheetViews>
  <sheetFormatPr defaultRowHeight="14.5"/>
  <cols>
    <col min="1" max="1" width="12.36328125" bestFit="1" customWidth="1"/>
    <col min="2" max="2" width="19" bestFit="1" customWidth="1"/>
    <col min="14" max="14" width="12.6328125" bestFit="1" customWidth="1"/>
    <col min="15" max="15" width="17.7265625" bestFit="1" customWidth="1"/>
    <col min="16" max="16" width="19" bestFit="1" customWidth="1"/>
  </cols>
  <sheetData>
    <row r="1" spans="1:2">
      <c r="A1" t="s">
        <v>140</v>
      </c>
    </row>
    <row r="4" spans="1:2">
      <c r="A4" s="8" t="s">
        <v>172</v>
      </c>
      <c r="B4" t="s">
        <v>174</v>
      </c>
    </row>
    <row r="5" spans="1:2">
      <c r="A5" s="9" t="s">
        <v>27</v>
      </c>
      <c r="B5">
        <v>267334</v>
      </c>
    </row>
    <row r="6" spans="1:2">
      <c r="A6" s="9" t="s">
        <v>7</v>
      </c>
      <c r="B6">
        <v>418311</v>
      </c>
    </row>
    <row r="7" spans="1:2">
      <c r="A7" s="9" t="s">
        <v>12</v>
      </c>
      <c r="B7">
        <v>477520</v>
      </c>
    </row>
    <row r="8" spans="1:2">
      <c r="A8" s="9" t="s">
        <v>16</v>
      </c>
      <c r="B8">
        <v>383172.5</v>
      </c>
    </row>
    <row r="9" spans="1:2">
      <c r="A9" s="9" t="s">
        <v>173</v>
      </c>
      <c r="B9">
        <v>1546337.5</v>
      </c>
    </row>
    <row r="21" spans="1:16">
      <c r="A21" t="s">
        <v>141</v>
      </c>
      <c r="N21" t="s">
        <v>184</v>
      </c>
    </row>
    <row r="24" spans="1:16">
      <c r="N24" s="8" t="s">
        <v>172</v>
      </c>
      <c r="O24" t="s">
        <v>183</v>
      </c>
      <c r="P24" t="s">
        <v>174</v>
      </c>
    </row>
    <row r="25" spans="1:16">
      <c r="N25" s="9" t="s">
        <v>179</v>
      </c>
      <c r="O25" s="12">
        <v>6.5000000000000002E-2</v>
      </c>
      <c r="P25">
        <v>390863</v>
      </c>
    </row>
    <row r="26" spans="1:16">
      <c r="N26" s="9" t="s">
        <v>180</v>
      </c>
      <c r="O26" s="12">
        <v>6.6000000000000003E-2</v>
      </c>
      <c r="P26">
        <v>376162.5</v>
      </c>
    </row>
    <row r="27" spans="1:16">
      <c r="N27" s="9" t="s">
        <v>181</v>
      </c>
      <c r="O27" s="12">
        <v>6.3000000000000014E-2</v>
      </c>
      <c r="P27">
        <v>410555.5</v>
      </c>
    </row>
    <row r="28" spans="1:16">
      <c r="N28" s="9" t="s">
        <v>182</v>
      </c>
      <c r="O28" s="12">
        <v>5.7999999999999982E-2</v>
      </c>
      <c r="P28">
        <v>368756.5</v>
      </c>
    </row>
    <row r="29" spans="1:16">
      <c r="N29" s="9" t="s">
        <v>173</v>
      </c>
      <c r="O29" s="4">
        <v>6.3000000000000014E-2</v>
      </c>
      <c r="P29">
        <v>1546337.5</v>
      </c>
    </row>
  </sheetData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3B27-EC57-486E-A490-A4B91DDFB677}">
  <dimension ref="B2:I43"/>
  <sheetViews>
    <sheetView workbookViewId="0">
      <selection activeCell="B27" sqref="B27"/>
    </sheetView>
  </sheetViews>
  <sheetFormatPr defaultRowHeight="14.5"/>
  <cols>
    <col min="3" max="3" width="10.7265625" customWidth="1"/>
    <col min="4" max="4" width="11.26953125" bestFit="1" customWidth="1"/>
    <col min="5" max="5" width="9.81640625" bestFit="1" customWidth="1"/>
  </cols>
  <sheetData>
    <row r="2" spans="2:9">
      <c r="B2" t="s">
        <v>126</v>
      </c>
    </row>
    <row r="3" spans="2:9">
      <c r="B3" s="5">
        <v>0</v>
      </c>
      <c r="C3" s="5">
        <v>10000</v>
      </c>
      <c r="D3" s="5">
        <v>25000</v>
      </c>
      <c r="E3" s="5">
        <v>50000</v>
      </c>
      <c r="H3" s="13" t="s">
        <v>185</v>
      </c>
      <c r="I3" s="13" t="s">
        <v>142</v>
      </c>
    </row>
    <row r="4" spans="2:9">
      <c r="B4" s="5" t="s">
        <v>150</v>
      </c>
      <c r="C4" s="5" t="s">
        <v>151</v>
      </c>
      <c r="D4" s="5" t="s">
        <v>152</v>
      </c>
      <c r="E4" s="5" t="s">
        <v>153</v>
      </c>
      <c r="H4" s="5" t="str">
        <f>HLOOKUP(I4,$B$3:$E$4,2,1)</f>
        <v>LOW</v>
      </c>
      <c r="I4" s="5">
        <v>9500</v>
      </c>
    </row>
    <row r="5" spans="2:9">
      <c r="H5" s="5" t="str">
        <f t="shared" ref="H5:H20" si="0">HLOOKUP(I5,$B$3:$E$4,2,1)</f>
        <v>MEDIUM</v>
      </c>
      <c r="I5" s="5">
        <v>24300</v>
      </c>
    </row>
    <row r="6" spans="2:9">
      <c r="H6" s="5" t="str">
        <f t="shared" si="0"/>
        <v>HIGH</v>
      </c>
      <c r="I6" s="5">
        <v>39744</v>
      </c>
    </row>
    <row r="7" spans="2:9">
      <c r="H7" s="5" t="str">
        <f t="shared" si="0"/>
        <v>VERY HIGH</v>
      </c>
      <c r="I7" s="5">
        <v>114840</v>
      </c>
    </row>
    <row r="8" spans="2:9">
      <c r="H8" s="5" t="str">
        <f t="shared" si="0"/>
        <v>HIGH</v>
      </c>
      <c r="I8" s="5">
        <v>45600</v>
      </c>
    </row>
    <row r="9" spans="2:9">
      <c r="H9" s="5" t="str">
        <f t="shared" si="0"/>
        <v>MEDIUM</v>
      </c>
      <c r="I9" s="5">
        <v>18750</v>
      </c>
    </row>
    <row r="10" spans="2:9">
      <c r="H10" s="5" t="str">
        <f t="shared" si="0"/>
        <v>HIGH</v>
      </c>
      <c r="I10" s="5">
        <v>35712</v>
      </c>
    </row>
    <row r="11" spans="2:9">
      <c r="H11" s="5" t="str">
        <f t="shared" si="0"/>
        <v>HIGH</v>
      </c>
      <c r="I11" s="5">
        <v>35910</v>
      </c>
    </row>
    <row r="12" spans="2:9">
      <c r="H12" s="5" t="str">
        <f t="shared" si="0"/>
        <v>HIGH</v>
      </c>
      <c r="I12" s="5">
        <v>44100</v>
      </c>
    </row>
    <row r="13" spans="2:9">
      <c r="H13" s="5" t="str">
        <f t="shared" si="0"/>
        <v>MEDIUM</v>
      </c>
      <c r="I13" s="5">
        <v>22407</v>
      </c>
    </row>
    <row r="14" spans="2:9">
      <c r="H14" s="5" t="str">
        <f t="shared" si="0"/>
        <v>HIGH</v>
      </c>
      <c r="I14" s="5">
        <v>46368</v>
      </c>
    </row>
    <row r="15" spans="2:9">
      <c r="H15" s="5" t="str">
        <f t="shared" si="0"/>
        <v>HIGH</v>
      </c>
      <c r="I15" s="5">
        <v>33840</v>
      </c>
    </row>
    <row r="16" spans="2:9">
      <c r="H16" s="5" t="str">
        <f t="shared" si="0"/>
        <v>MEDIUM</v>
      </c>
      <c r="I16" s="5">
        <v>11875</v>
      </c>
    </row>
    <row r="17" spans="2:9">
      <c r="B17" t="s">
        <v>154</v>
      </c>
      <c r="H17" s="5" t="str">
        <f t="shared" si="0"/>
        <v>VERY HIGH</v>
      </c>
      <c r="I17" s="5">
        <v>98600</v>
      </c>
    </row>
    <row r="18" spans="2:9">
      <c r="B18" t="s">
        <v>155</v>
      </c>
      <c r="H18" s="5" t="str">
        <f t="shared" si="0"/>
        <v>HIGH</v>
      </c>
      <c r="I18" s="5">
        <v>34200</v>
      </c>
    </row>
    <row r="19" spans="2:9">
      <c r="B19" t="s">
        <v>186</v>
      </c>
      <c r="H19" s="5" t="str">
        <f t="shared" si="0"/>
        <v>MEDIUM</v>
      </c>
      <c r="I19" s="5">
        <v>22050</v>
      </c>
    </row>
    <row r="20" spans="2:9">
      <c r="B20" t="s">
        <v>187</v>
      </c>
      <c r="H20" s="5" t="str">
        <f t="shared" si="0"/>
        <v>VERY HIGH</v>
      </c>
      <c r="I20" s="5">
        <v>52920</v>
      </c>
    </row>
    <row r="21" spans="2:9">
      <c r="B21" t="s">
        <v>188</v>
      </c>
    </row>
    <row r="23" spans="2:9">
      <c r="B23" t="s">
        <v>189</v>
      </c>
    </row>
    <row r="25" spans="2:9">
      <c r="B25" t="s">
        <v>190</v>
      </c>
    </row>
    <row r="26" spans="2:9">
      <c r="B26" t="s">
        <v>191</v>
      </c>
    </row>
    <row r="28" spans="2:9">
      <c r="B28" t="s">
        <v>157</v>
      </c>
      <c r="C28" t="s">
        <v>158</v>
      </c>
    </row>
    <row r="29" spans="2:9">
      <c r="B29" s="6" t="s">
        <v>156</v>
      </c>
    </row>
    <row r="33" spans="3:4">
      <c r="C33" s="7" t="s">
        <v>59</v>
      </c>
      <c r="D33" s="7" t="s">
        <v>159</v>
      </c>
    </row>
    <row r="34" spans="3:4">
      <c r="C34" s="5" t="s">
        <v>160</v>
      </c>
      <c r="D34" s="5" t="s">
        <v>170</v>
      </c>
    </row>
    <row r="35" spans="3:4">
      <c r="C35" s="5" t="s">
        <v>161</v>
      </c>
      <c r="D35" s="5"/>
    </row>
    <row r="36" spans="3:4">
      <c r="C36" s="5" t="s">
        <v>162</v>
      </c>
      <c r="D36" s="5"/>
    </row>
    <row r="37" spans="3:4">
      <c r="C37" s="5" t="s">
        <v>163</v>
      </c>
      <c r="D37" s="5"/>
    </row>
    <row r="38" spans="3:4">
      <c r="C38" s="5" t="s">
        <v>164</v>
      </c>
      <c r="D38" s="5"/>
    </row>
    <row r="39" spans="3:4">
      <c r="C39" s="5" t="s">
        <v>165</v>
      </c>
      <c r="D39" s="5"/>
    </row>
    <row r="40" spans="3:4">
      <c r="C40" s="5" t="s">
        <v>166</v>
      </c>
      <c r="D40" s="5"/>
    </row>
    <row r="41" spans="3:4">
      <c r="C41" s="5" t="s">
        <v>167</v>
      </c>
      <c r="D41" s="5"/>
    </row>
    <row r="42" spans="3:4">
      <c r="C42" s="5" t="s">
        <v>168</v>
      </c>
      <c r="D42" s="5"/>
    </row>
    <row r="43" spans="3:4">
      <c r="C43" s="5" t="s">
        <v>169</v>
      </c>
      <c r="D43" s="5"/>
    </row>
  </sheetData>
  <phoneticPr fontId="2" type="noConversion"/>
  <dataValidations count="1">
    <dataValidation type="list" allowBlank="1" showInputMessage="1" showErrorMessage="1" promptTitle="select status" sqref="D34:D43" xr:uid="{F0BF6540-1B13-43A6-B406-D8B503AF2719}">
      <formula1>" pending , shipped, delivered, cancelled"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CA96-A076-41BB-BE99-DF3E013FEC9A}">
  <dimension ref="A1:E21"/>
  <sheetViews>
    <sheetView workbookViewId="0">
      <selection activeCell="F12" sqref="F12"/>
    </sheetView>
  </sheetViews>
  <sheetFormatPr defaultRowHeight="14.5"/>
  <cols>
    <col min="1" max="1" width="10.453125" customWidth="1"/>
    <col min="2" max="2" width="14.36328125" bestFit="1" customWidth="1"/>
    <col min="4" max="4" width="11.26953125" bestFit="1" customWidth="1"/>
    <col min="5" max="5" width="10" bestFit="1" customWidth="1"/>
  </cols>
  <sheetData>
    <row r="1" spans="1:5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7</v>
      </c>
      <c r="D5" t="s">
        <v>8</v>
      </c>
      <c r="E5" t="s">
        <v>21</v>
      </c>
    </row>
    <row r="6" spans="1:5">
      <c r="A6" t="s">
        <v>22</v>
      </c>
      <c r="B6" t="s">
        <v>23</v>
      </c>
      <c r="C6" t="s">
        <v>12</v>
      </c>
      <c r="D6" t="s">
        <v>17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>
      <c r="A8" t="s">
        <v>29</v>
      </c>
      <c r="B8" t="s">
        <v>30</v>
      </c>
      <c r="C8" t="s">
        <v>16</v>
      </c>
      <c r="D8" t="s">
        <v>8</v>
      </c>
      <c r="E8" t="s">
        <v>31</v>
      </c>
    </row>
    <row r="9" spans="1:5">
      <c r="A9" t="s">
        <v>32</v>
      </c>
      <c r="B9" t="s">
        <v>33</v>
      </c>
      <c r="C9" t="s">
        <v>12</v>
      </c>
      <c r="D9" t="s">
        <v>34</v>
      </c>
      <c r="E9" t="s">
        <v>13</v>
      </c>
    </row>
    <row r="10" spans="1:5">
      <c r="A10" t="s">
        <v>35</v>
      </c>
      <c r="B10" t="s">
        <v>36</v>
      </c>
      <c r="C10" t="s">
        <v>7</v>
      </c>
      <c r="D10" t="s">
        <v>17</v>
      </c>
      <c r="E10" t="s">
        <v>21</v>
      </c>
    </row>
    <row r="11" spans="1:5">
      <c r="A11" t="s">
        <v>37</v>
      </c>
      <c r="B11" t="s">
        <v>38</v>
      </c>
      <c r="C11" t="s">
        <v>16</v>
      </c>
      <c r="D11" t="s">
        <v>8</v>
      </c>
      <c r="E11" t="s">
        <v>31</v>
      </c>
    </row>
    <row r="12" spans="1:5">
      <c r="A12" t="s">
        <v>39</v>
      </c>
      <c r="B12" t="s">
        <v>40</v>
      </c>
      <c r="C12" t="s">
        <v>12</v>
      </c>
      <c r="D12" t="s">
        <v>17</v>
      </c>
      <c r="E12" t="s">
        <v>9</v>
      </c>
    </row>
    <row r="13" spans="1:5">
      <c r="A13" t="s">
        <v>41</v>
      </c>
      <c r="B13" t="s">
        <v>42</v>
      </c>
      <c r="C13" t="s">
        <v>27</v>
      </c>
      <c r="D13" t="s">
        <v>8</v>
      </c>
      <c r="E13" t="s">
        <v>28</v>
      </c>
    </row>
    <row r="14" spans="1:5">
      <c r="A14" t="s">
        <v>43</v>
      </c>
      <c r="B14" t="s">
        <v>44</v>
      </c>
      <c r="C14" t="s">
        <v>7</v>
      </c>
      <c r="D14" t="s">
        <v>8</v>
      </c>
      <c r="E14" t="s">
        <v>21</v>
      </c>
    </row>
    <row r="15" spans="1:5">
      <c r="A15" t="s">
        <v>45</v>
      </c>
      <c r="B15" t="s">
        <v>46</v>
      </c>
      <c r="C15" t="s">
        <v>16</v>
      </c>
      <c r="D15" t="s">
        <v>17</v>
      </c>
      <c r="E15" t="s">
        <v>18</v>
      </c>
    </row>
    <row r="16" spans="1:5">
      <c r="A16" t="s">
        <v>47</v>
      </c>
      <c r="B16" t="s">
        <v>48</v>
      </c>
      <c r="C16" t="s">
        <v>12</v>
      </c>
      <c r="D16" t="s">
        <v>34</v>
      </c>
      <c r="E16" t="s">
        <v>24</v>
      </c>
    </row>
    <row r="17" spans="1:5">
      <c r="A17" t="s">
        <v>49</v>
      </c>
      <c r="B17" t="s">
        <v>50</v>
      </c>
      <c r="C17" t="s">
        <v>27</v>
      </c>
      <c r="D17" t="s">
        <v>8</v>
      </c>
      <c r="E17" t="s">
        <v>28</v>
      </c>
    </row>
    <row r="18" spans="1:5">
      <c r="A18" t="s">
        <v>51</v>
      </c>
      <c r="B18" t="s">
        <v>52</v>
      </c>
      <c r="C18" t="s">
        <v>7</v>
      </c>
      <c r="D18" t="s">
        <v>8</v>
      </c>
      <c r="E18" t="s">
        <v>9</v>
      </c>
    </row>
    <row r="19" spans="1:5">
      <c r="A19" t="s">
        <v>53</v>
      </c>
      <c r="B19" t="s">
        <v>54</v>
      </c>
      <c r="C19" t="s">
        <v>16</v>
      </c>
      <c r="D19" t="s">
        <v>17</v>
      </c>
      <c r="E19" t="s">
        <v>31</v>
      </c>
    </row>
    <row r="20" spans="1:5">
      <c r="A20" t="s">
        <v>55</v>
      </c>
      <c r="B20" t="s">
        <v>56</v>
      </c>
      <c r="C20" t="s">
        <v>12</v>
      </c>
      <c r="D20" t="s">
        <v>8</v>
      </c>
      <c r="E20" t="s">
        <v>13</v>
      </c>
    </row>
    <row r="21" spans="1:5">
      <c r="A21" t="s">
        <v>57</v>
      </c>
      <c r="B21" t="s">
        <v>58</v>
      </c>
      <c r="C21" t="s">
        <v>27</v>
      </c>
      <c r="D21" t="s">
        <v>17</v>
      </c>
      <c r="E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P2_Customers</vt:lpstr>
      <vt:lpstr>P2_Sales</vt:lpstr>
      <vt:lpstr>customers_copy</vt:lpstr>
      <vt:lpstr>sales_copy</vt:lpstr>
      <vt:lpstr>P2_Tasks</vt:lpstr>
      <vt:lpstr>sales_answers</vt:lpstr>
      <vt:lpstr>salestasks3</vt:lpstr>
      <vt:lpstr>pivot and charts1</vt:lpstr>
      <vt:lpstr>charts2</vt:lpstr>
      <vt:lpstr>sales_tasks2</vt:lpstr>
      <vt:lpstr>customer_answers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aimanunnisa283@gmail.com</dc:creator>
  <cp:lastModifiedBy>aimanunnisa283@gmail.com</cp:lastModifiedBy>
  <dcterms:created xsi:type="dcterms:W3CDTF">2026-10-17T08:58:08Z</dcterms:created>
  <dcterms:modified xsi:type="dcterms:W3CDTF">2026-10-20T07:56:15Z</dcterms:modified>
</cp:coreProperties>
</file>