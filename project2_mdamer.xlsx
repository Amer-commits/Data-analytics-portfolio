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afe901dc81da1df/Documents/"/>
    </mc:Choice>
  </mc:AlternateContent>
  <xr:revisionPtr revIDLastSave="0" documentId="8_{EB7B3553-DB84-4148-84CD-5CE64390E5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 data" sheetId="3" r:id="rId1"/>
    <sheet name="Qns" sheetId="4" r:id="rId2"/>
    <sheet name="main data ans" sheetId="6" r:id="rId3"/>
    <sheet name="main data ans2" sheetId="7" r:id="rId4"/>
    <sheet name="2Qn" sheetId="1" r:id="rId5"/>
    <sheet name="3Qn" sheetId="2" r:id="rId6"/>
  </sheets>
  <calcPr calcId="191029"/>
  <pivotCaches>
    <pivotCache cacheId="9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E12" i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2" i="7"/>
</calcChain>
</file>

<file path=xl/sharedStrings.xml><?xml version="1.0" encoding="utf-8"?>
<sst xmlns="http://schemas.openxmlformats.org/spreadsheetml/2006/main" count="823" uniqueCount="270">
  <si>
    <t>Need a formula in cell C14 that does the following:</t>
  </si>
  <si>
    <t>IF A14+B14 &lt;= 4, return 20</t>
  </si>
  <si>
    <t>IF A14+B14 &gt; 4 but &lt;= 9, return 35</t>
  </si>
  <si>
    <t>IF A14+B14 &gt; 9 but &lt;= 14, return 50</t>
  </si>
  <si>
    <t>IF A14+B14&gt; 14, return 75</t>
  </si>
  <si>
    <t>Highlight the Country</t>
  </si>
  <si>
    <t>if sales &gt; 1000</t>
  </si>
  <si>
    <t>if sales between 500 and 1000</t>
  </si>
  <si>
    <t>If sales &lt; 500</t>
  </si>
  <si>
    <t>Country</t>
  </si>
  <si>
    <t>Sales</t>
  </si>
  <si>
    <t>Italy</t>
  </si>
  <si>
    <t>Ireland</t>
  </si>
  <si>
    <t>Portugal</t>
  </si>
  <si>
    <t>Belgium</t>
  </si>
  <si>
    <t>UK</t>
  </si>
  <si>
    <t>Sweden</t>
  </si>
  <si>
    <t>France</t>
  </si>
  <si>
    <t>Denmark</t>
  </si>
  <si>
    <t>Hungary</t>
  </si>
  <si>
    <t>Netherlands</t>
  </si>
  <si>
    <t>Switzerland</t>
  </si>
  <si>
    <t>Germany</t>
  </si>
  <si>
    <t>Spain</t>
  </si>
  <si>
    <t>Austria</t>
  </si>
  <si>
    <t>Finland</t>
  </si>
  <si>
    <t>Branch</t>
  </si>
  <si>
    <t>Employee ID</t>
  </si>
  <si>
    <t>Name</t>
  </si>
  <si>
    <t>Department</t>
  </si>
  <si>
    <t>Salary</t>
  </si>
  <si>
    <t>Age</t>
  </si>
  <si>
    <t>Experience (Years)</t>
  </si>
  <si>
    <t>Location</t>
  </si>
  <si>
    <t>Email</t>
  </si>
  <si>
    <t>Phone Number</t>
  </si>
  <si>
    <t>Status</t>
  </si>
  <si>
    <t>Downtown Office</t>
  </si>
  <si>
    <t>EMP001</t>
  </si>
  <si>
    <t>John Hernandez</t>
  </si>
  <si>
    <t>Marketing</t>
  </si>
  <si>
    <t>City A</t>
  </si>
  <si>
    <t>employee1@company.com</t>
  </si>
  <si>
    <t>123-456-7801</t>
  </si>
  <si>
    <t>Active</t>
  </si>
  <si>
    <t>Northside Branch</t>
  </si>
  <si>
    <t>EMP002</t>
  </si>
  <si>
    <t>David Williams</t>
  </si>
  <si>
    <t>Finance</t>
  </si>
  <si>
    <t>City B</t>
  </si>
  <si>
    <t>employee2@company.com</t>
  </si>
  <si>
    <t>123-456-7802</t>
  </si>
  <si>
    <t>Inactive</t>
  </si>
  <si>
    <t>West End Office</t>
  </si>
  <si>
    <t>EMP003</t>
  </si>
  <si>
    <t>Emily Smith</t>
  </si>
  <si>
    <t>IT</t>
  </si>
  <si>
    <t>City C</t>
  </si>
  <si>
    <t>employee3@company.com</t>
  </si>
  <si>
    <t>123-456-7803</t>
  </si>
  <si>
    <t>Central Plaza</t>
  </si>
  <si>
    <t>EMP004</t>
  </si>
  <si>
    <t>Matthew Garcia</t>
  </si>
  <si>
    <t>HR</t>
  </si>
  <si>
    <t>City D</t>
  </si>
  <si>
    <t>employee4@company.com</t>
  </si>
  <si>
    <t>123-456-7804</t>
  </si>
  <si>
    <t>Eastside Hub</t>
  </si>
  <si>
    <t>EMP005</t>
  </si>
  <si>
    <t>Jane Brown</t>
  </si>
  <si>
    <t>City E</t>
  </si>
  <si>
    <t>employee5@company.com</t>
  </si>
  <si>
    <t>123-456-7805</t>
  </si>
  <si>
    <t>South Park Branch</t>
  </si>
  <si>
    <t>EMP006</t>
  </si>
  <si>
    <t>Jane Davis</t>
  </si>
  <si>
    <t>employee6@company.com</t>
  </si>
  <si>
    <t>123-456-7806</t>
  </si>
  <si>
    <t>Uptown Office</t>
  </si>
  <si>
    <t>EMP007</t>
  </si>
  <si>
    <t>Emily Jones</t>
  </si>
  <si>
    <t>employee7@company.com</t>
  </si>
  <si>
    <t>123-456-7807</t>
  </si>
  <si>
    <t>River Valley Branch</t>
  </si>
  <si>
    <t>EMP008</t>
  </si>
  <si>
    <t>Emily Williams</t>
  </si>
  <si>
    <t>employee8@company.com</t>
  </si>
  <si>
    <t>123-456-7808</t>
  </si>
  <si>
    <t>Hilltop Center</t>
  </si>
  <si>
    <t>EMP009</t>
  </si>
  <si>
    <t>Jessica Davis</t>
  </si>
  <si>
    <t>employee9@company.com</t>
  </si>
  <si>
    <t>123-456-7809</t>
  </si>
  <si>
    <t>Lakeside Branch</t>
  </si>
  <si>
    <t>EMP010</t>
  </si>
  <si>
    <t>Sarah Jones</t>
  </si>
  <si>
    <t>employee10@company.com</t>
  </si>
  <si>
    <t>123-456-7810</t>
  </si>
  <si>
    <t>EMP011</t>
  </si>
  <si>
    <t>Matthew Miller</t>
  </si>
  <si>
    <t>employee11@company.com</t>
  </si>
  <si>
    <t>123-456-7811</t>
  </si>
  <si>
    <t>EMP012</t>
  </si>
  <si>
    <t>David Garcia</t>
  </si>
  <si>
    <t>employee12@company.com</t>
  </si>
  <si>
    <t>123-456-7812</t>
  </si>
  <si>
    <t>EMP013</t>
  </si>
  <si>
    <t>David Johnson</t>
  </si>
  <si>
    <t>employee13@company.com</t>
  </si>
  <si>
    <t>123-456-7813</t>
  </si>
  <si>
    <t>EMP014</t>
  </si>
  <si>
    <t>Emily Johnson</t>
  </si>
  <si>
    <t>employee14@company.com</t>
  </si>
  <si>
    <t>123-456-7814</t>
  </si>
  <si>
    <t>EMP015</t>
  </si>
  <si>
    <t>Matthew Martinez</t>
  </si>
  <si>
    <t>employee15@company.com</t>
  </si>
  <si>
    <t>123-456-7815</t>
  </si>
  <si>
    <t>EMP016</t>
  </si>
  <si>
    <t>Jane Jones</t>
  </si>
  <si>
    <t>employee16@company.com</t>
  </si>
  <si>
    <t>123-456-7816</t>
  </si>
  <si>
    <t>EMP017</t>
  </si>
  <si>
    <t>Sarah Martinez</t>
  </si>
  <si>
    <t>employee17@company.com</t>
  </si>
  <si>
    <t>123-456-7817</t>
  </si>
  <si>
    <t>EMP018</t>
  </si>
  <si>
    <t>Daniel Brown</t>
  </si>
  <si>
    <t>employee18@company.com</t>
  </si>
  <si>
    <t>123-456-7818</t>
  </si>
  <si>
    <t>EMP019</t>
  </si>
  <si>
    <t>John Miller</t>
  </si>
  <si>
    <t>employee19@company.com</t>
  </si>
  <si>
    <t>123-456-7819</t>
  </si>
  <si>
    <t>EMP020</t>
  </si>
  <si>
    <t>John Williams</t>
  </si>
  <si>
    <t>employee20@company.com</t>
  </si>
  <si>
    <t>123-456-7820</t>
  </si>
  <si>
    <t>EMP021</t>
  </si>
  <si>
    <t>Jessica Garcia</t>
  </si>
  <si>
    <t>employee21@company.com</t>
  </si>
  <si>
    <t>123-456-7821</t>
  </si>
  <si>
    <t>EMP022</t>
  </si>
  <si>
    <t>Sophia Davis</t>
  </si>
  <si>
    <t>employee22@company.com</t>
  </si>
  <si>
    <t>123-456-7822</t>
  </si>
  <si>
    <t>EMP023</t>
  </si>
  <si>
    <t>Daniel Miller</t>
  </si>
  <si>
    <t>employee23@company.com</t>
  </si>
  <si>
    <t>123-456-7823</t>
  </si>
  <si>
    <t>EMP024</t>
  </si>
  <si>
    <t>Sarah Brown</t>
  </si>
  <si>
    <t>employee24@company.com</t>
  </si>
  <si>
    <t>123-456-7824</t>
  </si>
  <si>
    <t>EMP025</t>
  </si>
  <si>
    <t>John Garcia</t>
  </si>
  <si>
    <t>employee25@company.com</t>
  </si>
  <si>
    <t>123-456-7825</t>
  </si>
  <si>
    <t>EMP026</t>
  </si>
  <si>
    <t>Sophia Smith</t>
  </si>
  <si>
    <t>employee26@company.com</t>
  </si>
  <si>
    <t>123-456-7826</t>
  </si>
  <si>
    <t>EMP027</t>
  </si>
  <si>
    <t>Jessica Miller</t>
  </si>
  <si>
    <t>employee27@company.com</t>
  </si>
  <si>
    <t>123-456-7827</t>
  </si>
  <si>
    <t>EMP028</t>
  </si>
  <si>
    <t>John Brown</t>
  </si>
  <si>
    <t>employee28@company.com</t>
  </si>
  <si>
    <t>123-456-7828</t>
  </si>
  <si>
    <t>EMP029</t>
  </si>
  <si>
    <t>Matthew Jones</t>
  </si>
  <si>
    <t>employee29@company.com</t>
  </si>
  <si>
    <t>123-456-7829</t>
  </si>
  <si>
    <t>EMP030</t>
  </si>
  <si>
    <t>John Martinez</t>
  </si>
  <si>
    <t>employee30@company.com</t>
  </si>
  <si>
    <t>123-456-7830</t>
  </si>
  <si>
    <t>EMP031</t>
  </si>
  <si>
    <t>Sophia Miller</t>
  </si>
  <si>
    <t>employee31@company.com</t>
  </si>
  <si>
    <t>123-456-7831</t>
  </si>
  <si>
    <t>EMP032</t>
  </si>
  <si>
    <t>David Brown</t>
  </si>
  <si>
    <t>employee32@company.com</t>
  </si>
  <si>
    <t>123-456-7832</t>
  </si>
  <si>
    <t>EMP033</t>
  </si>
  <si>
    <t>Michael Davis</t>
  </si>
  <si>
    <t>employee33@company.com</t>
  </si>
  <si>
    <t>123-456-7833</t>
  </si>
  <si>
    <t>EMP034</t>
  </si>
  <si>
    <t>employee34@company.com</t>
  </si>
  <si>
    <t>123-456-7834</t>
  </si>
  <si>
    <t>EMP035</t>
  </si>
  <si>
    <t>employee35@company.com</t>
  </si>
  <si>
    <t>123-456-7835</t>
  </si>
  <si>
    <t>EMP036</t>
  </si>
  <si>
    <t>employee36@company.com</t>
  </si>
  <si>
    <t>123-456-7836</t>
  </si>
  <si>
    <t>EMP037</t>
  </si>
  <si>
    <t>employee37@company.com</t>
  </si>
  <si>
    <t>123-456-7837</t>
  </si>
  <si>
    <t>EMP038</t>
  </si>
  <si>
    <t>Jane Johnson</t>
  </si>
  <si>
    <t>employee38@company.com</t>
  </si>
  <si>
    <t>123-456-7838</t>
  </si>
  <si>
    <t>EMP039</t>
  </si>
  <si>
    <t>employee39@company.com</t>
  </si>
  <si>
    <t>123-456-7839</t>
  </si>
  <si>
    <t>EMP040</t>
  </si>
  <si>
    <t>Jessica Hernandez</t>
  </si>
  <si>
    <t>employee40@company.com</t>
  </si>
  <si>
    <t>123-456-7840</t>
  </si>
  <si>
    <t>EMP041</t>
  </si>
  <si>
    <t>Emily Hernandez</t>
  </si>
  <si>
    <t>employee41@company.com</t>
  </si>
  <si>
    <t>123-456-7841</t>
  </si>
  <si>
    <t>EMP042</t>
  </si>
  <si>
    <t>Michael Smith</t>
  </si>
  <si>
    <t>employee42@company.com</t>
  </si>
  <si>
    <t>123-456-7842</t>
  </si>
  <si>
    <t>EMP043</t>
  </si>
  <si>
    <t>employee43@company.com</t>
  </si>
  <si>
    <t>123-456-7843</t>
  </si>
  <si>
    <t>EMP044</t>
  </si>
  <si>
    <t>Michael Jones</t>
  </si>
  <si>
    <t>employee44@company.com</t>
  </si>
  <si>
    <t>123-456-7844</t>
  </si>
  <si>
    <t>EMP045</t>
  </si>
  <si>
    <t>Jane Garcia</t>
  </si>
  <si>
    <t>employee45@company.com</t>
  </si>
  <si>
    <t>123-456-7845</t>
  </si>
  <si>
    <t>EMP046</t>
  </si>
  <si>
    <t>employee46@company.com</t>
  </si>
  <si>
    <t>123-456-7846</t>
  </si>
  <si>
    <t>EMP047</t>
  </si>
  <si>
    <t>employee47@company.com</t>
  </si>
  <si>
    <t>123-456-7847</t>
  </si>
  <si>
    <t>EMP048</t>
  </si>
  <si>
    <t>employee48@company.com</t>
  </si>
  <si>
    <t>123-456-7848</t>
  </si>
  <si>
    <t>EMP049</t>
  </si>
  <si>
    <t>Emily Martinez</t>
  </si>
  <si>
    <t>employee49@company.com</t>
  </si>
  <si>
    <t>123-456-7849</t>
  </si>
  <si>
    <t>EMP050</t>
  </si>
  <si>
    <t>employee50@company.com</t>
  </si>
  <si>
    <t>123-456-7850</t>
  </si>
  <si>
    <r>
      <t xml:space="preserve">If Status is </t>
    </r>
    <r>
      <rPr>
        <sz val="10"/>
        <color theme="1"/>
        <rFont val="Arial Unicode MS"/>
        <family val="2"/>
      </rPr>
      <t>Active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"Working"</t>
    </r>
  </si>
  <si>
    <r>
      <t xml:space="preserve">If Status is </t>
    </r>
    <r>
      <rPr>
        <sz val="10"/>
        <color theme="1"/>
        <rFont val="Arial Unicode MS"/>
        <family val="2"/>
      </rPr>
      <t>Inactive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"Not Working"</t>
    </r>
  </si>
  <si>
    <t>Create a Pivot Table to show the number of employees in each Department.</t>
  </si>
  <si>
    <t>Create a Pivot Table to show the average Salary for each Department.</t>
  </si>
  <si>
    <t>Create a Pivot Table to show the number of Active and Inactive employees.</t>
  </si>
  <si>
    <t>Create a Pivot Table to show the number of employees in each Location.</t>
  </si>
  <si>
    <t>Create a Pivot Table showing Department-wise total Salary.</t>
  </si>
  <si>
    <t>Highlight all employees whose Salary is greater than 50,500.</t>
  </si>
  <si>
    <t>Highlight all employees whose Status is Inactive.</t>
  </si>
  <si>
    <t>Apply duplicate formatting to identify duplicate employee names.</t>
  </si>
  <si>
    <t>Create a new column called Employee Status:</t>
  </si>
  <si>
    <t>Row Labels</t>
  </si>
  <si>
    <t>(blank)</t>
  </si>
  <si>
    <t>Grand Total</t>
  </si>
  <si>
    <t>no. of employees</t>
  </si>
  <si>
    <t>department</t>
  </si>
  <si>
    <t>Sum of Salary</t>
  </si>
  <si>
    <t>count of employees</t>
  </si>
  <si>
    <t>status</t>
  </si>
  <si>
    <t>location</t>
  </si>
  <si>
    <t>total salary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</si>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</sst>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800080"/>
      <name val="Calibri"/>
      <family val="2"/>
    </font>
    <font>
      <b/>
      <sz val="11"/>
      <name val="Calibri"/>
      <family val="2"/>
    </font>
    <font>
      <b/>
      <sz val="11"/>
      <color rgb="FFFFFF00"/>
      <name val="Calibri"/>
      <family val="2"/>
      <scheme val="minor"/>
    </font>
    <font>
      <sz val="10"/>
      <color theme="1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366092"/>
        <bgColor rgb="FF366092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1" fontId="2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3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4" fillId="8" borderId="0" xfId="0" applyFont="1" applyFill="1" applyAlignment="1">
      <alignment horizontal="left"/>
    </xf>
    <xf numFmtId="0" fontId="4" fillId="8" borderId="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4" fillId="8" borderId="3" xfId="0" applyFont="1" applyFill="1" applyBorder="1" applyAlignment="1">
      <alignment horizontal="left" vertical="top"/>
    </xf>
  </cellXfs>
  <cellStyles count="1"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8.585960300923" createdVersion="8" refreshedVersion="8" minRefreshableVersion="3" recordCount="51" xr:uid="{E75DD2AD-C668-4017-9EB8-2B7A93A3F21F}">
  <cacheSource type="worksheet">
    <worksheetSource ref="A1:K1048576" sheet="main data"/>
  </cacheSource>
  <cacheFields count="11">
    <cacheField name="Branch" numFmtId="0">
      <sharedItems containsBlank="1"/>
    </cacheField>
    <cacheField name="Employee ID" numFmtId="0">
      <sharedItems containsBlank="1"/>
    </cacheField>
    <cacheField name="Name" numFmtId="0">
      <sharedItems containsBlank="1"/>
    </cacheField>
    <cacheField name="Department" numFmtId="0">
      <sharedItems containsBlank="1" count="6">
        <s v="Marketing"/>
        <s v="Finance"/>
        <s v="IT"/>
        <s v="HR"/>
        <s v="Sales"/>
        <m/>
      </sharedItems>
    </cacheField>
    <cacheField name="Salary" numFmtId="0">
      <sharedItems containsString="0" containsBlank="1" containsNumber="1" containsInteger="1" minValue="50100" maxValue="55000"/>
    </cacheField>
    <cacheField name="Age" numFmtId="0">
      <sharedItems containsString="0" containsBlank="1" containsNumber="1" containsInteger="1" minValue="25" maxValue="34"/>
    </cacheField>
    <cacheField name="Experience (Years)" numFmtId="0">
      <sharedItems containsString="0" containsBlank="1" containsNumber="1" containsInteger="1" minValue="1" maxValue="15"/>
    </cacheField>
    <cacheField name="Location" numFmtId="0">
      <sharedItems containsBlank="1" count="6">
        <s v="City A"/>
        <s v="City B"/>
        <s v="City C"/>
        <s v="City D"/>
        <s v="City E"/>
        <m/>
      </sharedItems>
    </cacheField>
    <cacheField name="Email" numFmtId="0">
      <sharedItems containsBlank="1"/>
    </cacheField>
    <cacheField name="Phone Number" numFmtId="0">
      <sharedItems containsBlank="1"/>
    </cacheField>
    <cacheField name="Status" numFmtId="0">
      <sharedItems containsBlank="1" count="3">
        <s v="Active"/>
        <s v="Inacti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Downtown Office"/>
    <s v="EMP001"/>
    <s v="John Hernandez"/>
    <x v="0"/>
    <n v="50100"/>
    <n v="26"/>
    <n v="2"/>
    <x v="0"/>
    <s v="employee1@company.com"/>
    <s v="123-456-7801"/>
    <x v="0"/>
  </r>
  <r>
    <s v="Northside Branch"/>
    <s v="EMP002"/>
    <s v="David Williams"/>
    <x v="1"/>
    <n v="50200"/>
    <n v="27"/>
    <n v="3"/>
    <x v="1"/>
    <s v="employee2@company.com"/>
    <s v="123-456-7802"/>
    <x v="1"/>
  </r>
  <r>
    <s v="West End Office"/>
    <s v="EMP003"/>
    <s v="Emily Smith"/>
    <x v="2"/>
    <n v="50300"/>
    <n v="28"/>
    <n v="4"/>
    <x v="2"/>
    <s v="employee3@company.com"/>
    <s v="123-456-7803"/>
    <x v="0"/>
  </r>
  <r>
    <s v="Central Plaza"/>
    <s v="EMP004"/>
    <s v="Matthew Garcia"/>
    <x v="3"/>
    <n v="50300"/>
    <n v="29"/>
    <n v="5"/>
    <x v="3"/>
    <s v="employee4@company.com"/>
    <s v="123-456-7804"/>
    <x v="1"/>
  </r>
  <r>
    <s v="Eastside Hub"/>
    <s v="EMP005"/>
    <s v="Jane Brown"/>
    <x v="4"/>
    <n v="50300"/>
    <n v="30"/>
    <n v="6"/>
    <x v="4"/>
    <s v="employee5@company.com"/>
    <s v="123-456-7805"/>
    <x v="0"/>
  </r>
  <r>
    <s v="South Park Branch"/>
    <s v="EMP006"/>
    <s v="Jane Davis"/>
    <x v="0"/>
    <n v="50300"/>
    <n v="31"/>
    <n v="7"/>
    <x v="0"/>
    <s v="employee6@company.com"/>
    <s v="123-456-7806"/>
    <x v="1"/>
  </r>
  <r>
    <s v="Uptown Office"/>
    <s v="EMP007"/>
    <s v="Emily Jones"/>
    <x v="1"/>
    <n v="50300"/>
    <n v="32"/>
    <n v="8"/>
    <x v="1"/>
    <s v="employee7@company.com"/>
    <s v="123-456-7807"/>
    <x v="0"/>
  </r>
  <r>
    <s v="River Valley Branch"/>
    <s v="EMP008"/>
    <s v="Emily Williams"/>
    <x v="2"/>
    <n v="50300"/>
    <n v="33"/>
    <n v="9"/>
    <x v="2"/>
    <s v="employee8@company.com"/>
    <s v="123-456-7808"/>
    <x v="1"/>
  </r>
  <r>
    <s v="Hilltop Center"/>
    <s v="EMP009"/>
    <s v="Jessica Davis"/>
    <x v="3"/>
    <n v="50300"/>
    <n v="34"/>
    <n v="10"/>
    <x v="3"/>
    <s v="employee9@company.com"/>
    <s v="123-456-7809"/>
    <x v="0"/>
  </r>
  <r>
    <s v="Lakeside Branch"/>
    <s v="EMP010"/>
    <s v="Sarah Jones"/>
    <x v="4"/>
    <n v="50300"/>
    <n v="25"/>
    <n v="11"/>
    <x v="4"/>
    <s v="employee10@company.com"/>
    <s v="123-456-7810"/>
    <x v="1"/>
  </r>
  <r>
    <s v="Downtown Office"/>
    <s v="EMP011"/>
    <s v="Matthew Miller"/>
    <x v="0"/>
    <n v="51100"/>
    <n v="26"/>
    <n v="12"/>
    <x v="0"/>
    <s v="employee11@company.com"/>
    <s v="123-456-7811"/>
    <x v="0"/>
  </r>
  <r>
    <s v="Northside Branch"/>
    <s v="EMP012"/>
    <s v="David Garcia"/>
    <x v="1"/>
    <n v="51200"/>
    <n v="27"/>
    <n v="13"/>
    <x v="1"/>
    <s v="employee12@company.com"/>
    <s v="123-456-7812"/>
    <x v="1"/>
  </r>
  <r>
    <s v="West End Office"/>
    <s v="EMP013"/>
    <s v="David Johnson"/>
    <x v="2"/>
    <n v="51300"/>
    <n v="28"/>
    <n v="14"/>
    <x v="2"/>
    <s v="employee13@company.com"/>
    <s v="123-456-7813"/>
    <x v="0"/>
  </r>
  <r>
    <s v="Central Plaza"/>
    <s v="EMP014"/>
    <s v="Emily Johnson"/>
    <x v="3"/>
    <n v="51400"/>
    <n v="29"/>
    <n v="15"/>
    <x v="3"/>
    <s v="employee14@company.com"/>
    <s v="123-456-7814"/>
    <x v="1"/>
  </r>
  <r>
    <s v="Eastside Hub"/>
    <s v="EMP015"/>
    <s v="Matthew Martinez"/>
    <x v="4"/>
    <n v="51500"/>
    <n v="30"/>
    <n v="1"/>
    <x v="4"/>
    <s v="employee15@company.com"/>
    <s v="123-456-7815"/>
    <x v="0"/>
  </r>
  <r>
    <s v="South Park Branch"/>
    <s v="EMP016"/>
    <s v="Jane Jones"/>
    <x v="0"/>
    <n v="51600"/>
    <n v="31"/>
    <n v="2"/>
    <x v="0"/>
    <s v="employee16@company.com"/>
    <s v="123-456-7816"/>
    <x v="1"/>
  </r>
  <r>
    <s v="Uptown Office"/>
    <s v="EMP017"/>
    <s v="Sarah Martinez"/>
    <x v="1"/>
    <n v="51700"/>
    <n v="32"/>
    <n v="3"/>
    <x v="1"/>
    <s v="employee17@company.com"/>
    <s v="123-456-7817"/>
    <x v="0"/>
  </r>
  <r>
    <s v="River Valley Branch"/>
    <s v="EMP018"/>
    <s v="Daniel Brown"/>
    <x v="2"/>
    <n v="51800"/>
    <n v="33"/>
    <n v="4"/>
    <x v="2"/>
    <s v="employee18@company.com"/>
    <s v="123-456-7818"/>
    <x v="1"/>
  </r>
  <r>
    <s v="Hilltop Center"/>
    <s v="EMP019"/>
    <s v="John Miller"/>
    <x v="3"/>
    <n v="51900"/>
    <n v="34"/>
    <n v="5"/>
    <x v="3"/>
    <s v="employee19@company.com"/>
    <s v="123-456-7819"/>
    <x v="0"/>
  </r>
  <r>
    <s v="Lakeside Branch"/>
    <s v="EMP020"/>
    <s v="John Williams"/>
    <x v="4"/>
    <n v="52000"/>
    <n v="25"/>
    <n v="6"/>
    <x v="4"/>
    <s v="employee20@company.com"/>
    <s v="123-456-7820"/>
    <x v="1"/>
  </r>
  <r>
    <s v="Downtown Office"/>
    <s v="EMP021"/>
    <s v="Jessica Garcia"/>
    <x v="0"/>
    <n v="52100"/>
    <n v="26"/>
    <n v="7"/>
    <x v="0"/>
    <s v="employee21@company.com"/>
    <s v="123-456-7821"/>
    <x v="0"/>
  </r>
  <r>
    <s v="Northside Branch"/>
    <s v="EMP022"/>
    <s v="Sophia Davis"/>
    <x v="1"/>
    <n v="52200"/>
    <n v="27"/>
    <n v="8"/>
    <x v="1"/>
    <s v="employee22@company.com"/>
    <s v="123-456-7822"/>
    <x v="1"/>
  </r>
  <r>
    <s v="West End Office"/>
    <s v="EMP023"/>
    <s v="Daniel Miller"/>
    <x v="2"/>
    <n v="52300"/>
    <n v="28"/>
    <n v="9"/>
    <x v="2"/>
    <s v="employee23@company.com"/>
    <s v="123-456-7823"/>
    <x v="0"/>
  </r>
  <r>
    <s v="Central Plaza"/>
    <s v="EMP024"/>
    <s v="Sarah Brown"/>
    <x v="3"/>
    <n v="52400"/>
    <n v="29"/>
    <n v="10"/>
    <x v="3"/>
    <s v="employee24@company.com"/>
    <s v="123-456-7824"/>
    <x v="1"/>
  </r>
  <r>
    <s v="Eastside Hub"/>
    <s v="EMP025"/>
    <s v="John Garcia"/>
    <x v="4"/>
    <n v="52500"/>
    <n v="30"/>
    <n v="11"/>
    <x v="4"/>
    <s v="employee25@company.com"/>
    <s v="123-456-7825"/>
    <x v="0"/>
  </r>
  <r>
    <s v="South Park Branch"/>
    <s v="EMP026"/>
    <s v="Sophia Smith"/>
    <x v="0"/>
    <n v="52600"/>
    <n v="31"/>
    <n v="12"/>
    <x v="0"/>
    <s v="employee26@company.com"/>
    <s v="123-456-7826"/>
    <x v="1"/>
  </r>
  <r>
    <s v="Uptown Office"/>
    <s v="EMP027"/>
    <s v="Jessica Miller"/>
    <x v="1"/>
    <n v="52700"/>
    <n v="32"/>
    <n v="13"/>
    <x v="1"/>
    <s v="employee27@company.com"/>
    <s v="123-456-7827"/>
    <x v="0"/>
  </r>
  <r>
    <s v="River Valley Branch"/>
    <s v="EMP028"/>
    <s v="John Brown"/>
    <x v="2"/>
    <n v="52800"/>
    <n v="33"/>
    <n v="14"/>
    <x v="2"/>
    <s v="employee28@company.com"/>
    <s v="123-456-7828"/>
    <x v="1"/>
  </r>
  <r>
    <s v="Hilltop Center"/>
    <s v="EMP029"/>
    <s v="Matthew Jones"/>
    <x v="3"/>
    <n v="52900"/>
    <n v="34"/>
    <n v="15"/>
    <x v="3"/>
    <s v="employee29@company.com"/>
    <s v="123-456-7829"/>
    <x v="0"/>
  </r>
  <r>
    <s v="Lakeside Branch"/>
    <s v="EMP030"/>
    <s v="John Martinez"/>
    <x v="4"/>
    <n v="53000"/>
    <n v="25"/>
    <n v="1"/>
    <x v="4"/>
    <s v="employee30@company.com"/>
    <s v="123-456-7830"/>
    <x v="1"/>
  </r>
  <r>
    <s v="Downtown Office"/>
    <s v="EMP031"/>
    <s v="Sophia Miller"/>
    <x v="0"/>
    <n v="53100"/>
    <n v="26"/>
    <n v="2"/>
    <x v="0"/>
    <s v="employee31@company.com"/>
    <s v="123-456-7831"/>
    <x v="0"/>
  </r>
  <r>
    <s v="Northside Branch"/>
    <s v="EMP032"/>
    <s v="David Brown"/>
    <x v="1"/>
    <n v="53200"/>
    <n v="27"/>
    <n v="3"/>
    <x v="1"/>
    <s v="employee32@company.com"/>
    <s v="123-456-7832"/>
    <x v="1"/>
  </r>
  <r>
    <s v="West End Office"/>
    <s v="EMP033"/>
    <s v="Michael Davis"/>
    <x v="2"/>
    <n v="53300"/>
    <n v="28"/>
    <n v="4"/>
    <x v="2"/>
    <s v="employee33@company.com"/>
    <s v="123-456-7833"/>
    <x v="0"/>
  </r>
  <r>
    <s v="Central Plaza"/>
    <s v="EMP034"/>
    <s v="John Miller"/>
    <x v="3"/>
    <n v="53400"/>
    <n v="29"/>
    <n v="5"/>
    <x v="3"/>
    <s v="employee34@company.com"/>
    <s v="123-456-7834"/>
    <x v="1"/>
  </r>
  <r>
    <s v="Eastside Hub"/>
    <s v="EMP035"/>
    <s v="Jane Jones"/>
    <x v="4"/>
    <n v="53500"/>
    <n v="30"/>
    <n v="6"/>
    <x v="4"/>
    <s v="employee35@company.com"/>
    <s v="123-456-7835"/>
    <x v="0"/>
  </r>
  <r>
    <s v="South Park Branch"/>
    <s v="EMP036"/>
    <s v="Sophia Smith"/>
    <x v="0"/>
    <n v="53600"/>
    <n v="31"/>
    <n v="7"/>
    <x v="0"/>
    <s v="employee36@company.com"/>
    <s v="123-456-7836"/>
    <x v="1"/>
  </r>
  <r>
    <s v="Uptown Office"/>
    <s v="EMP037"/>
    <s v="Sophia Smith"/>
    <x v="1"/>
    <n v="53700"/>
    <n v="32"/>
    <n v="8"/>
    <x v="1"/>
    <s v="employee37@company.com"/>
    <s v="123-456-7837"/>
    <x v="0"/>
  </r>
  <r>
    <s v="River Valley Branch"/>
    <s v="EMP038"/>
    <s v="Jane Johnson"/>
    <x v="2"/>
    <n v="53800"/>
    <n v="33"/>
    <n v="9"/>
    <x v="2"/>
    <s v="employee38@company.com"/>
    <s v="123-456-7838"/>
    <x v="1"/>
  </r>
  <r>
    <s v="Hilltop Center"/>
    <s v="EMP039"/>
    <s v="Sophia Davis"/>
    <x v="3"/>
    <n v="53900"/>
    <n v="34"/>
    <n v="10"/>
    <x v="3"/>
    <s v="employee39@company.com"/>
    <s v="123-456-7839"/>
    <x v="0"/>
  </r>
  <r>
    <s v="Lakeside Branch"/>
    <s v="EMP040"/>
    <s v="Jessica Hernandez"/>
    <x v="4"/>
    <n v="54000"/>
    <n v="25"/>
    <n v="11"/>
    <x v="4"/>
    <s v="employee40@company.com"/>
    <s v="123-456-7840"/>
    <x v="1"/>
  </r>
  <r>
    <s v="Downtown Office"/>
    <s v="EMP041"/>
    <s v="Emily Hernandez"/>
    <x v="0"/>
    <n v="54100"/>
    <n v="26"/>
    <n v="12"/>
    <x v="0"/>
    <s v="employee41@company.com"/>
    <s v="123-456-7841"/>
    <x v="0"/>
  </r>
  <r>
    <s v="Northside Branch"/>
    <s v="EMP042"/>
    <s v="Michael Smith"/>
    <x v="1"/>
    <n v="54200"/>
    <n v="27"/>
    <n v="13"/>
    <x v="1"/>
    <s v="employee42@company.com"/>
    <s v="123-456-7842"/>
    <x v="1"/>
  </r>
  <r>
    <s v="West End Office"/>
    <s v="EMP043"/>
    <s v="Matthew Jones"/>
    <x v="2"/>
    <n v="54300"/>
    <n v="28"/>
    <n v="14"/>
    <x v="2"/>
    <s v="employee43@company.com"/>
    <s v="123-456-7843"/>
    <x v="0"/>
  </r>
  <r>
    <s v="Central Plaza"/>
    <s v="EMP044"/>
    <s v="Michael Jones"/>
    <x v="3"/>
    <n v="54400"/>
    <n v="29"/>
    <n v="15"/>
    <x v="3"/>
    <s v="employee44@company.com"/>
    <s v="123-456-7844"/>
    <x v="1"/>
  </r>
  <r>
    <s v="Eastside Hub"/>
    <s v="EMP045"/>
    <s v="Jane Garcia"/>
    <x v="4"/>
    <n v="54500"/>
    <n v="30"/>
    <n v="1"/>
    <x v="4"/>
    <s v="employee45@company.com"/>
    <s v="123-456-7845"/>
    <x v="0"/>
  </r>
  <r>
    <s v="South Park Branch"/>
    <s v="EMP046"/>
    <s v="David Johnson"/>
    <x v="0"/>
    <n v="54600"/>
    <n v="31"/>
    <n v="2"/>
    <x v="0"/>
    <s v="employee46@company.com"/>
    <s v="123-456-7846"/>
    <x v="1"/>
  </r>
  <r>
    <s v="Uptown Office"/>
    <s v="EMP047"/>
    <s v="Matthew Miller"/>
    <x v="1"/>
    <n v="54700"/>
    <n v="32"/>
    <n v="3"/>
    <x v="1"/>
    <s v="employee47@company.com"/>
    <s v="123-456-7847"/>
    <x v="0"/>
  </r>
  <r>
    <s v="River Valley Branch"/>
    <s v="EMP048"/>
    <s v="Matthew Martinez"/>
    <x v="2"/>
    <n v="54800"/>
    <n v="33"/>
    <n v="4"/>
    <x v="2"/>
    <s v="employee48@company.com"/>
    <s v="123-456-7848"/>
    <x v="1"/>
  </r>
  <r>
    <s v="Hilltop Center"/>
    <s v="EMP049"/>
    <s v="Emily Martinez"/>
    <x v="3"/>
    <n v="54900"/>
    <n v="34"/>
    <n v="5"/>
    <x v="3"/>
    <s v="employee49@company.com"/>
    <s v="123-456-7849"/>
    <x v="0"/>
  </r>
  <r>
    <s v="Lakeside Branch"/>
    <s v="EMP050"/>
    <s v="Daniel Brown"/>
    <x v="4"/>
    <n v="55000"/>
    <n v="25"/>
    <n v="6"/>
    <x v="4"/>
    <s v="employee50@company.com"/>
    <s v="123-456-7850"/>
    <x v="1"/>
  </r>
  <r>
    <m/>
    <m/>
    <m/>
    <x v="5"/>
    <m/>
    <m/>
    <m/>
    <x v="5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AE1CE-19BB-48E1-9DF9-EE0BACA6D974}" name="PivotTable33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O2:P9" firstHeaderRow="1" firstDataRow="1" firstDataCol="1"/>
  <pivotFields count="11">
    <pivotField showAll="0"/>
    <pivotField showAll="0"/>
    <pivotField showAll="0"/>
    <pivotField axis="axisRow"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salary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64253-867F-487A-8521-4FA652788762}" name="PivotTable3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G15:H21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. of employee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52755-FCA2-446C-AADC-9CE7E34D78D3}" name="PivotTable31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G3:H6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loyees" fld="1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4B153-C2F4-4D24-9531-AB20D724A643}" name="PivotTable30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1">
    <pivotField showAll="0"/>
    <pivotField showAll="0"/>
    <pivotField showAll="0"/>
    <pivotField axis="axisRow" showAll="0">
      <items count="7">
        <item x="1"/>
        <item x="3"/>
        <item x="2"/>
        <item x="0"/>
        <item x="4"/>
        <item h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382D2-BF40-4183-AFA8-B66354A8EAB4}" name="PivotTable29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9" firstHeaderRow="1" firstDataRow="1" firstDataCol="1"/>
  <pivotFields count="11">
    <pivotField showAll="0"/>
    <pivotField dataField="1" showAll="0"/>
    <pivotField showAll="0"/>
    <pivotField axis="axisRow" showAll="0">
      <items count="7">
        <item x="1"/>
        <item x="3"/>
        <item x="2"/>
        <item x="0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. of employees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sqref="A1:XFD1048576"/>
    </sheetView>
  </sheetViews>
  <sheetFormatPr defaultRowHeight="14.5"/>
  <cols>
    <col min="1" max="1" width="17.26953125" customWidth="1"/>
    <col min="10" max="10" width="19.90625" customWidth="1"/>
  </cols>
  <sheetData>
    <row r="1" spans="1:11">
      <c r="A1" s="14" t="s">
        <v>26</v>
      </c>
      <c r="B1" s="15" t="s">
        <v>27</v>
      </c>
      <c r="C1" s="15" t="s">
        <v>28</v>
      </c>
      <c r="D1" s="15" t="s">
        <v>29</v>
      </c>
      <c r="E1" s="15" t="s">
        <v>30</v>
      </c>
      <c r="F1" s="15" t="s">
        <v>31</v>
      </c>
      <c r="G1" s="15" t="s">
        <v>32</v>
      </c>
      <c r="H1" s="15" t="s">
        <v>33</v>
      </c>
      <c r="I1" s="15" t="s">
        <v>34</v>
      </c>
      <c r="J1" s="15" t="s">
        <v>35</v>
      </c>
      <c r="K1" s="15" t="s">
        <v>36</v>
      </c>
    </row>
    <row r="2" spans="1:11">
      <c r="A2" s="16" t="s">
        <v>37</v>
      </c>
      <c r="B2" s="16" t="s">
        <v>38</v>
      </c>
      <c r="C2" s="16" t="s">
        <v>39</v>
      </c>
      <c r="D2" s="16" t="s">
        <v>40</v>
      </c>
      <c r="E2" s="16">
        <v>50100</v>
      </c>
      <c r="F2" s="16">
        <v>26</v>
      </c>
      <c r="G2" s="16">
        <v>2</v>
      </c>
      <c r="H2" s="16" t="s">
        <v>41</v>
      </c>
      <c r="I2" s="16" t="s">
        <v>42</v>
      </c>
      <c r="J2" s="16" t="s">
        <v>43</v>
      </c>
      <c r="K2" s="16" t="s">
        <v>44</v>
      </c>
    </row>
    <row r="3" spans="1:11">
      <c r="A3" s="16" t="s">
        <v>45</v>
      </c>
      <c r="B3" s="16" t="s">
        <v>46</v>
      </c>
      <c r="C3" s="16" t="s">
        <v>47</v>
      </c>
      <c r="D3" s="16" t="s">
        <v>48</v>
      </c>
      <c r="E3" s="16">
        <v>50200</v>
      </c>
      <c r="F3" s="16">
        <v>27</v>
      </c>
      <c r="G3" s="16">
        <v>3</v>
      </c>
      <c r="H3" s="16" t="s">
        <v>49</v>
      </c>
      <c r="I3" s="16" t="s">
        <v>50</v>
      </c>
      <c r="J3" s="16" t="s">
        <v>51</v>
      </c>
      <c r="K3" s="16" t="s">
        <v>52</v>
      </c>
    </row>
    <row r="4" spans="1:11">
      <c r="A4" s="16" t="s">
        <v>53</v>
      </c>
      <c r="B4" s="16" t="s">
        <v>54</v>
      </c>
      <c r="C4" s="16" t="s">
        <v>55</v>
      </c>
      <c r="D4" s="16" t="s">
        <v>56</v>
      </c>
      <c r="E4" s="16">
        <v>50300</v>
      </c>
      <c r="F4" s="16">
        <v>28</v>
      </c>
      <c r="G4" s="16">
        <v>4</v>
      </c>
      <c r="H4" s="16" t="s">
        <v>57</v>
      </c>
      <c r="I4" s="16" t="s">
        <v>58</v>
      </c>
      <c r="J4" s="16" t="s">
        <v>59</v>
      </c>
      <c r="K4" s="16" t="s">
        <v>44</v>
      </c>
    </row>
    <row r="5" spans="1:11">
      <c r="A5" s="16" t="s">
        <v>60</v>
      </c>
      <c r="B5" s="16" t="s">
        <v>61</v>
      </c>
      <c r="C5" s="16" t="s">
        <v>62</v>
      </c>
      <c r="D5" s="16" t="s">
        <v>63</v>
      </c>
      <c r="E5" s="16">
        <v>50300</v>
      </c>
      <c r="F5" s="16">
        <v>29</v>
      </c>
      <c r="G5" s="16">
        <v>5</v>
      </c>
      <c r="H5" s="16" t="s">
        <v>64</v>
      </c>
      <c r="I5" s="16" t="s">
        <v>65</v>
      </c>
      <c r="J5" s="16" t="s">
        <v>66</v>
      </c>
      <c r="K5" s="16" t="s">
        <v>52</v>
      </c>
    </row>
    <row r="6" spans="1:11">
      <c r="A6" s="16" t="s">
        <v>67</v>
      </c>
      <c r="B6" s="16" t="s">
        <v>68</v>
      </c>
      <c r="C6" s="16" t="s">
        <v>69</v>
      </c>
      <c r="D6" s="16" t="s">
        <v>10</v>
      </c>
      <c r="E6" s="16">
        <v>50300</v>
      </c>
      <c r="F6" s="16">
        <v>30</v>
      </c>
      <c r="G6" s="16">
        <v>6</v>
      </c>
      <c r="H6" s="16" t="s">
        <v>70</v>
      </c>
      <c r="I6" s="16" t="s">
        <v>71</v>
      </c>
      <c r="J6" s="16" t="s">
        <v>72</v>
      </c>
      <c r="K6" s="16" t="s">
        <v>44</v>
      </c>
    </row>
    <row r="7" spans="1:11">
      <c r="A7" s="16" t="s">
        <v>73</v>
      </c>
      <c r="B7" s="16" t="s">
        <v>74</v>
      </c>
      <c r="C7" s="16" t="s">
        <v>75</v>
      </c>
      <c r="D7" s="16" t="s">
        <v>40</v>
      </c>
      <c r="E7" s="16">
        <v>50300</v>
      </c>
      <c r="F7" s="16">
        <v>31</v>
      </c>
      <c r="G7" s="16">
        <v>7</v>
      </c>
      <c r="H7" s="16" t="s">
        <v>41</v>
      </c>
      <c r="I7" s="16" t="s">
        <v>76</v>
      </c>
      <c r="J7" s="16" t="s">
        <v>77</v>
      </c>
      <c r="K7" s="16" t="s">
        <v>52</v>
      </c>
    </row>
    <row r="8" spans="1:11">
      <c r="A8" s="16" t="s">
        <v>78</v>
      </c>
      <c r="B8" s="16" t="s">
        <v>79</v>
      </c>
      <c r="C8" s="16" t="s">
        <v>80</v>
      </c>
      <c r="D8" s="16" t="s">
        <v>48</v>
      </c>
      <c r="E8" s="16">
        <v>50300</v>
      </c>
      <c r="F8" s="16">
        <v>32</v>
      </c>
      <c r="G8" s="16">
        <v>8</v>
      </c>
      <c r="H8" s="16" t="s">
        <v>49</v>
      </c>
      <c r="I8" s="16" t="s">
        <v>81</v>
      </c>
      <c r="J8" s="16" t="s">
        <v>82</v>
      </c>
      <c r="K8" s="16" t="s">
        <v>44</v>
      </c>
    </row>
    <row r="9" spans="1:11">
      <c r="A9" s="16" t="s">
        <v>83</v>
      </c>
      <c r="B9" s="16" t="s">
        <v>84</v>
      </c>
      <c r="C9" s="16" t="s">
        <v>85</v>
      </c>
      <c r="D9" s="16" t="s">
        <v>56</v>
      </c>
      <c r="E9" s="16">
        <v>50300</v>
      </c>
      <c r="F9" s="16">
        <v>33</v>
      </c>
      <c r="G9" s="16">
        <v>9</v>
      </c>
      <c r="H9" s="16" t="s">
        <v>57</v>
      </c>
      <c r="I9" s="16" t="s">
        <v>86</v>
      </c>
      <c r="J9" s="16" t="s">
        <v>87</v>
      </c>
      <c r="K9" s="16" t="s">
        <v>52</v>
      </c>
    </row>
    <row r="10" spans="1:11">
      <c r="A10" s="16" t="s">
        <v>88</v>
      </c>
      <c r="B10" s="16" t="s">
        <v>89</v>
      </c>
      <c r="C10" s="16" t="s">
        <v>90</v>
      </c>
      <c r="D10" s="16" t="s">
        <v>63</v>
      </c>
      <c r="E10" s="16">
        <v>50300</v>
      </c>
      <c r="F10" s="16">
        <v>34</v>
      </c>
      <c r="G10" s="16">
        <v>10</v>
      </c>
      <c r="H10" s="16" t="s">
        <v>64</v>
      </c>
      <c r="I10" s="16" t="s">
        <v>91</v>
      </c>
      <c r="J10" s="16" t="s">
        <v>92</v>
      </c>
      <c r="K10" s="16" t="s">
        <v>44</v>
      </c>
    </row>
    <row r="11" spans="1:11">
      <c r="A11" s="16" t="s">
        <v>93</v>
      </c>
      <c r="B11" s="16" t="s">
        <v>94</v>
      </c>
      <c r="C11" s="16" t="s">
        <v>95</v>
      </c>
      <c r="D11" s="16" t="s">
        <v>10</v>
      </c>
      <c r="E11" s="16">
        <v>50300</v>
      </c>
      <c r="F11" s="16">
        <v>25</v>
      </c>
      <c r="G11" s="16">
        <v>11</v>
      </c>
      <c r="H11" s="16" t="s">
        <v>70</v>
      </c>
      <c r="I11" s="16" t="s">
        <v>96</v>
      </c>
      <c r="J11" s="16" t="s">
        <v>97</v>
      </c>
      <c r="K11" s="16" t="s">
        <v>52</v>
      </c>
    </row>
    <row r="12" spans="1:11">
      <c r="A12" s="16" t="s">
        <v>37</v>
      </c>
      <c r="B12" s="16" t="s">
        <v>98</v>
      </c>
      <c r="C12" s="16" t="s">
        <v>99</v>
      </c>
      <c r="D12" s="16" t="s">
        <v>40</v>
      </c>
      <c r="E12" s="16">
        <v>51100</v>
      </c>
      <c r="F12" s="16">
        <v>26</v>
      </c>
      <c r="G12" s="16">
        <v>12</v>
      </c>
      <c r="H12" s="16" t="s">
        <v>41</v>
      </c>
      <c r="I12" s="16" t="s">
        <v>100</v>
      </c>
      <c r="J12" s="16" t="s">
        <v>101</v>
      </c>
      <c r="K12" s="16" t="s">
        <v>44</v>
      </c>
    </row>
    <row r="13" spans="1:11">
      <c r="A13" s="16" t="s">
        <v>45</v>
      </c>
      <c r="B13" s="16" t="s">
        <v>102</v>
      </c>
      <c r="C13" s="16" t="s">
        <v>103</v>
      </c>
      <c r="D13" s="16" t="s">
        <v>48</v>
      </c>
      <c r="E13" s="16">
        <v>51200</v>
      </c>
      <c r="F13" s="16">
        <v>27</v>
      </c>
      <c r="G13" s="16">
        <v>13</v>
      </c>
      <c r="H13" s="16" t="s">
        <v>49</v>
      </c>
      <c r="I13" s="16" t="s">
        <v>104</v>
      </c>
      <c r="J13" s="16" t="s">
        <v>105</v>
      </c>
      <c r="K13" s="16" t="s">
        <v>52</v>
      </c>
    </row>
    <row r="14" spans="1:11">
      <c r="A14" s="16" t="s">
        <v>53</v>
      </c>
      <c r="B14" s="16" t="s">
        <v>106</v>
      </c>
      <c r="C14" s="16" t="s">
        <v>107</v>
      </c>
      <c r="D14" s="16" t="s">
        <v>56</v>
      </c>
      <c r="E14" s="16">
        <v>51300</v>
      </c>
      <c r="F14" s="16">
        <v>28</v>
      </c>
      <c r="G14" s="16">
        <v>14</v>
      </c>
      <c r="H14" s="16" t="s">
        <v>57</v>
      </c>
      <c r="I14" s="16" t="s">
        <v>108</v>
      </c>
      <c r="J14" s="16" t="s">
        <v>109</v>
      </c>
      <c r="K14" s="16" t="s">
        <v>44</v>
      </c>
    </row>
    <row r="15" spans="1:11">
      <c r="A15" s="16" t="s">
        <v>60</v>
      </c>
      <c r="B15" s="16" t="s">
        <v>110</v>
      </c>
      <c r="C15" s="16" t="s">
        <v>111</v>
      </c>
      <c r="D15" s="16" t="s">
        <v>63</v>
      </c>
      <c r="E15" s="16">
        <v>51400</v>
      </c>
      <c r="F15" s="16">
        <v>29</v>
      </c>
      <c r="G15" s="16">
        <v>15</v>
      </c>
      <c r="H15" s="16" t="s">
        <v>64</v>
      </c>
      <c r="I15" s="16" t="s">
        <v>112</v>
      </c>
      <c r="J15" s="16" t="s">
        <v>113</v>
      </c>
      <c r="K15" s="16" t="s">
        <v>52</v>
      </c>
    </row>
    <row r="16" spans="1:11">
      <c r="A16" s="16" t="s">
        <v>67</v>
      </c>
      <c r="B16" s="16" t="s">
        <v>114</v>
      </c>
      <c r="C16" s="16" t="s">
        <v>115</v>
      </c>
      <c r="D16" s="16" t="s">
        <v>10</v>
      </c>
      <c r="E16" s="16">
        <v>51500</v>
      </c>
      <c r="F16" s="16">
        <v>30</v>
      </c>
      <c r="G16" s="16">
        <v>1</v>
      </c>
      <c r="H16" s="16" t="s">
        <v>70</v>
      </c>
      <c r="I16" s="16" t="s">
        <v>116</v>
      </c>
      <c r="J16" s="16" t="s">
        <v>117</v>
      </c>
      <c r="K16" s="16" t="s">
        <v>44</v>
      </c>
    </row>
    <row r="17" spans="1:11">
      <c r="A17" s="16" t="s">
        <v>73</v>
      </c>
      <c r="B17" s="16" t="s">
        <v>118</v>
      </c>
      <c r="C17" s="16" t="s">
        <v>119</v>
      </c>
      <c r="D17" s="16" t="s">
        <v>40</v>
      </c>
      <c r="E17" s="16">
        <v>51600</v>
      </c>
      <c r="F17" s="16">
        <v>31</v>
      </c>
      <c r="G17" s="16">
        <v>2</v>
      </c>
      <c r="H17" s="16" t="s">
        <v>41</v>
      </c>
      <c r="I17" s="16" t="s">
        <v>120</v>
      </c>
      <c r="J17" s="16" t="s">
        <v>121</v>
      </c>
      <c r="K17" s="16" t="s">
        <v>52</v>
      </c>
    </row>
    <row r="18" spans="1:11">
      <c r="A18" s="16" t="s">
        <v>78</v>
      </c>
      <c r="B18" s="16" t="s">
        <v>122</v>
      </c>
      <c r="C18" s="16" t="s">
        <v>123</v>
      </c>
      <c r="D18" s="16" t="s">
        <v>48</v>
      </c>
      <c r="E18" s="16">
        <v>51700</v>
      </c>
      <c r="F18" s="16">
        <v>32</v>
      </c>
      <c r="G18" s="16">
        <v>3</v>
      </c>
      <c r="H18" s="16" t="s">
        <v>49</v>
      </c>
      <c r="I18" s="16" t="s">
        <v>124</v>
      </c>
      <c r="J18" s="16" t="s">
        <v>125</v>
      </c>
      <c r="K18" s="16" t="s">
        <v>44</v>
      </c>
    </row>
    <row r="19" spans="1:11">
      <c r="A19" s="16" t="s">
        <v>83</v>
      </c>
      <c r="B19" s="16" t="s">
        <v>126</v>
      </c>
      <c r="C19" s="16" t="s">
        <v>127</v>
      </c>
      <c r="D19" s="16" t="s">
        <v>56</v>
      </c>
      <c r="E19" s="16">
        <v>51800</v>
      </c>
      <c r="F19" s="16">
        <v>33</v>
      </c>
      <c r="G19" s="16">
        <v>4</v>
      </c>
      <c r="H19" s="16" t="s">
        <v>57</v>
      </c>
      <c r="I19" s="16" t="s">
        <v>128</v>
      </c>
      <c r="J19" s="16" t="s">
        <v>129</v>
      </c>
      <c r="K19" s="16" t="s">
        <v>52</v>
      </c>
    </row>
    <row r="20" spans="1:11">
      <c r="A20" s="16" t="s">
        <v>88</v>
      </c>
      <c r="B20" s="16" t="s">
        <v>130</v>
      </c>
      <c r="C20" s="16" t="s">
        <v>131</v>
      </c>
      <c r="D20" s="16" t="s">
        <v>63</v>
      </c>
      <c r="E20" s="16">
        <v>51900</v>
      </c>
      <c r="F20" s="16">
        <v>34</v>
      </c>
      <c r="G20" s="16">
        <v>5</v>
      </c>
      <c r="H20" s="16" t="s">
        <v>64</v>
      </c>
      <c r="I20" s="16" t="s">
        <v>132</v>
      </c>
      <c r="J20" s="16" t="s">
        <v>133</v>
      </c>
      <c r="K20" s="16" t="s">
        <v>44</v>
      </c>
    </row>
    <row r="21" spans="1:11">
      <c r="A21" s="16" t="s">
        <v>93</v>
      </c>
      <c r="B21" s="16" t="s">
        <v>134</v>
      </c>
      <c r="C21" s="16" t="s">
        <v>135</v>
      </c>
      <c r="D21" s="16" t="s">
        <v>10</v>
      </c>
      <c r="E21" s="16">
        <v>52000</v>
      </c>
      <c r="F21" s="16">
        <v>25</v>
      </c>
      <c r="G21" s="16">
        <v>6</v>
      </c>
      <c r="H21" s="16" t="s">
        <v>70</v>
      </c>
      <c r="I21" s="16" t="s">
        <v>136</v>
      </c>
      <c r="J21" s="16" t="s">
        <v>137</v>
      </c>
      <c r="K21" s="16" t="s">
        <v>52</v>
      </c>
    </row>
    <row r="22" spans="1:11">
      <c r="A22" s="16" t="s">
        <v>37</v>
      </c>
      <c r="B22" s="16" t="s">
        <v>138</v>
      </c>
      <c r="C22" s="16" t="s">
        <v>139</v>
      </c>
      <c r="D22" s="16" t="s">
        <v>40</v>
      </c>
      <c r="E22" s="16">
        <v>52100</v>
      </c>
      <c r="F22" s="16">
        <v>26</v>
      </c>
      <c r="G22" s="16">
        <v>7</v>
      </c>
      <c r="H22" s="16" t="s">
        <v>41</v>
      </c>
      <c r="I22" s="16" t="s">
        <v>140</v>
      </c>
      <c r="J22" s="16" t="s">
        <v>141</v>
      </c>
      <c r="K22" s="16" t="s">
        <v>44</v>
      </c>
    </row>
    <row r="23" spans="1:11">
      <c r="A23" s="16" t="s">
        <v>45</v>
      </c>
      <c r="B23" s="16" t="s">
        <v>142</v>
      </c>
      <c r="C23" s="16" t="s">
        <v>143</v>
      </c>
      <c r="D23" s="16" t="s">
        <v>48</v>
      </c>
      <c r="E23" s="16">
        <v>52200</v>
      </c>
      <c r="F23" s="16">
        <v>27</v>
      </c>
      <c r="G23" s="16">
        <v>8</v>
      </c>
      <c r="H23" s="16" t="s">
        <v>49</v>
      </c>
      <c r="I23" s="16" t="s">
        <v>144</v>
      </c>
      <c r="J23" s="16" t="s">
        <v>145</v>
      </c>
      <c r="K23" s="16" t="s">
        <v>52</v>
      </c>
    </row>
    <row r="24" spans="1:11">
      <c r="A24" s="16" t="s">
        <v>53</v>
      </c>
      <c r="B24" s="16" t="s">
        <v>146</v>
      </c>
      <c r="C24" s="16" t="s">
        <v>147</v>
      </c>
      <c r="D24" s="16" t="s">
        <v>56</v>
      </c>
      <c r="E24" s="16">
        <v>52300</v>
      </c>
      <c r="F24" s="16">
        <v>28</v>
      </c>
      <c r="G24" s="16">
        <v>9</v>
      </c>
      <c r="H24" s="16" t="s">
        <v>57</v>
      </c>
      <c r="I24" s="16" t="s">
        <v>148</v>
      </c>
      <c r="J24" s="16" t="s">
        <v>149</v>
      </c>
      <c r="K24" s="16" t="s">
        <v>44</v>
      </c>
    </row>
    <row r="25" spans="1:11">
      <c r="A25" s="16" t="s">
        <v>60</v>
      </c>
      <c r="B25" s="16" t="s">
        <v>150</v>
      </c>
      <c r="C25" s="16" t="s">
        <v>151</v>
      </c>
      <c r="D25" s="16" t="s">
        <v>63</v>
      </c>
      <c r="E25" s="16">
        <v>52400</v>
      </c>
      <c r="F25" s="16">
        <v>29</v>
      </c>
      <c r="G25" s="16">
        <v>10</v>
      </c>
      <c r="H25" s="16" t="s">
        <v>64</v>
      </c>
      <c r="I25" s="16" t="s">
        <v>152</v>
      </c>
      <c r="J25" s="16" t="s">
        <v>153</v>
      </c>
      <c r="K25" s="16" t="s">
        <v>52</v>
      </c>
    </row>
    <row r="26" spans="1:11">
      <c r="A26" s="16" t="s">
        <v>67</v>
      </c>
      <c r="B26" s="16" t="s">
        <v>154</v>
      </c>
      <c r="C26" s="16" t="s">
        <v>155</v>
      </c>
      <c r="D26" s="16" t="s">
        <v>10</v>
      </c>
      <c r="E26" s="16">
        <v>52500</v>
      </c>
      <c r="F26" s="16">
        <v>30</v>
      </c>
      <c r="G26" s="16">
        <v>11</v>
      </c>
      <c r="H26" s="16" t="s">
        <v>70</v>
      </c>
      <c r="I26" s="16" t="s">
        <v>156</v>
      </c>
      <c r="J26" s="16" t="s">
        <v>157</v>
      </c>
      <c r="K26" s="16" t="s">
        <v>44</v>
      </c>
    </row>
    <row r="27" spans="1:11">
      <c r="A27" s="16" t="s">
        <v>73</v>
      </c>
      <c r="B27" s="16" t="s">
        <v>158</v>
      </c>
      <c r="C27" s="16" t="s">
        <v>159</v>
      </c>
      <c r="D27" s="16" t="s">
        <v>40</v>
      </c>
      <c r="E27" s="16">
        <v>52600</v>
      </c>
      <c r="F27" s="16">
        <v>31</v>
      </c>
      <c r="G27" s="16">
        <v>12</v>
      </c>
      <c r="H27" s="16" t="s">
        <v>41</v>
      </c>
      <c r="I27" s="16" t="s">
        <v>160</v>
      </c>
      <c r="J27" s="16" t="s">
        <v>161</v>
      </c>
      <c r="K27" s="16" t="s">
        <v>52</v>
      </c>
    </row>
    <row r="28" spans="1:11">
      <c r="A28" s="16" t="s">
        <v>78</v>
      </c>
      <c r="B28" s="16" t="s">
        <v>162</v>
      </c>
      <c r="C28" s="16" t="s">
        <v>163</v>
      </c>
      <c r="D28" s="16" t="s">
        <v>48</v>
      </c>
      <c r="E28" s="16">
        <v>52700</v>
      </c>
      <c r="F28" s="16">
        <v>32</v>
      </c>
      <c r="G28" s="16">
        <v>13</v>
      </c>
      <c r="H28" s="16" t="s">
        <v>49</v>
      </c>
      <c r="I28" s="16" t="s">
        <v>164</v>
      </c>
      <c r="J28" s="16" t="s">
        <v>165</v>
      </c>
      <c r="K28" s="16" t="s">
        <v>44</v>
      </c>
    </row>
    <row r="29" spans="1:11">
      <c r="A29" s="16" t="s">
        <v>83</v>
      </c>
      <c r="B29" s="16" t="s">
        <v>166</v>
      </c>
      <c r="C29" s="16" t="s">
        <v>167</v>
      </c>
      <c r="D29" s="16" t="s">
        <v>56</v>
      </c>
      <c r="E29" s="16">
        <v>52800</v>
      </c>
      <c r="F29" s="16">
        <v>33</v>
      </c>
      <c r="G29" s="16">
        <v>14</v>
      </c>
      <c r="H29" s="16" t="s">
        <v>57</v>
      </c>
      <c r="I29" s="16" t="s">
        <v>168</v>
      </c>
      <c r="J29" s="16" t="s">
        <v>169</v>
      </c>
      <c r="K29" s="16" t="s">
        <v>52</v>
      </c>
    </row>
    <row r="30" spans="1:11">
      <c r="A30" s="16" t="s">
        <v>88</v>
      </c>
      <c r="B30" s="16" t="s">
        <v>170</v>
      </c>
      <c r="C30" s="16" t="s">
        <v>171</v>
      </c>
      <c r="D30" s="16" t="s">
        <v>63</v>
      </c>
      <c r="E30" s="16">
        <v>52900</v>
      </c>
      <c r="F30" s="16">
        <v>34</v>
      </c>
      <c r="G30" s="16">
        <v>15</v>
      </c>
      <c r="H30" s="16" t="s">
        <v>64</v>
      </c>
      <c r="I30" s="16" t="s">
        <v>172</v>
      </c>
      <c r="J30" s="16" t="s">
        <v>173</v>
      </c>
      <c r="K30" s="16" t="s">
        <v>44</v>
      </c>
    </row>
    <row r="31" spans="1:11">
      <c r="A31" s="16" t="s">
        <v>93</v>
      </c>
      <c r="B31" s="16" t="s">
        <v>174</v>
      </c>
      <c r="C31" s="16" t="s">
        <v>175</v>
      </c>
      <c r="D31" s="16" t="s">
        <v>10</v>
      </c>
      <c r="E31" s="16">
        <v>53000</v>
      </c>
      <c r="F31" s="16">
        <v>25</v>
      </c>
      <c r="G31" s="16">
        <v>1</v>
      </c>
      <c r="H31" s="16" t="s">
        <v>70</v>
      </c>
      <c r="I31" s="16" t="s">
        <v>176</v>
      </c>
      <c r="J31" s="16" t="s">
        <v>177</v>
      </c>
      <c r="K31" s="16" t="s">
        <v>52</v>
      </c>
    </row>
    <row r="32" spans="1:11">
      <c r="A32" s="16" t="s">
        <v>37</v>
      </c>
      <c r="B32" s="16" t="s">
        <v>178</v>
      </c>
      <c r="C32" s="16" t="s">
        <v>179</v>
      </c>
      <c r="D32" s="16" t="s">
        <v>40</v>
      </c>
      <c r="E32" s="16">
        <v>53100</v>
      </c>
      <c r="F32" s="16">
        <v>26</v>
      </c>
      <c r="G32" s="16">
        <v>2</v>
      </c>
      <c r="H32" s="16" t="s">
        <v>41</v>
      </c>
      <c r="I32" s="16" t="s">
        <v>180</v>
      </c>
      <c r="J32" s="16" t="s">
        <v>181</v>
      </c>
      <c r="K32" s="16" t="s">
        <v>44</v>
      </c>
    </row>
    <row r="33" spans="1:11">
      <c r="A33" s="16" t="s">
        <v>45</v>
      </c>
      <c r="B33" s="16" t="s">
        <v>182</v>
      </c>
      <c r="C33" s="16" t="s">
        <v>183</v>
      </c>
      <c r="D33" s="16" t="s">
        <v>48</v>
      </c>
      <c r="E33" s="16">
        <v>53200</v>
      </c>
      <c r="F33" s="16">
        <v>27</v>
      </c>
      <c r="G33" s="16">
        <v>3</v>
      </c>
      <c r="H33" s="16" t="s">
        <v>49</v>
      </c>
      <c r="I33" s="16" t="s">
        <v>184</v>
      </c>
      <c r="J33" s="16" t="s">
        <v>185</v>
      </c>
      <c r="K33" s="16" t="s">
        <v>52</v>
      </c>
    </row>
    <row r="34" spans="1:11">
      <c r="A34" s="16" t="s">
        <v>53</v>
      </c>
      <c r="B34" s="16" t="s">
        <v>186</v>
      </c>
      <c r="C34" s="16" t="s">
        <v>187</v>
      </c>
      <c r="D34" s="16" t="s">
        <v>56</v>
      </c>
      <c r="E34" s="16">
        <v>53300</v>
      </c>
      <c r="F34" s="16">
        <v>28</v>
      </c>
      <c r="G34" s="16">
        <v>4</v>
      </c>
      <c r="H34" s="16" t="s">
        <v>57</v>
      </c>
      <c r="I34" s="16" t="s">
        <v>188</v>
      </c>
      <c r="J34" s="16" t="s">
        <v>189</v>
      </c>
      <c r="K34" s="16" t="s">
        <v>44</v>
      </c>
    </row>
    <row r="35" spans="1:11">
      <c r="A35" s="16" t="s">
        <v>60</v>
      </c>
      <c r="B35" s="16" t="s">
        <v>190</v>
      </c>
      <c r="C35" s="16" t="s">
        <v>131</v>
      </c>
      <c r="D35" s="16" t="s">
        <v>63</v>
      </c>
      <c r="E35" s="16">
        <v>53400</v>
      </c>
      <c r="F35" s="16">
        <v>29</v>
      </c>
      <c r="G35" s="16">
        <v>5</v>
      </c>
      <c r="H35" s="16" t="s">
        <v>64</v>
      </c>
      <c r="I35" s="16" t="s">
        <v>191</v>
      </c>
      <c r="J35" s="16" t="s">
        <v>192</v>
      </c>
      <c r="K35" s="16" t="s">
        <v>52</v>
      </c>
    </row>
    <row r="36" spans="1:11">
      <c r="A36" s="16" t="s">
        <v>67</v>
      </c>
      <c r="B36" s="16" t="s">
        <v>193</v>
      </c>
      <c r="C36" s="16" t="s">
        <v>119</v>
      </c>
      <c r="D36" s="16" t="s">
        <v>10</v>
      </c>
      <c r="E36" s="16">
        <v>53500</v>
      </c>
      <c r="F36" s="16">
        <v>30</v>
      </c>
      <c r="G36" s="16">
        <v>6</v>
      </c>
      <c r="H36" s="16" t="s">
        <v>70</v>
      </c>
      <c r="I36" s="16" t="s">
        <v>194</v>
      </c>
      <c r="J36" s="16" t="s">
        <v>195</v>
      </c>
      <c r="K36" s="16" t="s">
        <v>44</v>
      </c>
    </row>
    <row r="37" spans="1:11">
      <c r="A37" s="16" t="s">
        <v>73</v>
      </c>
      <c r="B37" s="16" t="s">
        <v>196</v>
      </c>
      <c r="C37" s="16" t="s">
        <v>159</v>
      </c>
      <c r="D37" s="16" t="s">
        <v>40</v>
      </c>
      <c r="E37" s="16">
        <v>53600</v>
      </c>
      <c r="F37" s="16">
        <v>31</v>
      </c>
      <c r="G37" s="16">
        <v>7</v>
      </c>
      <c r="H37" s="16" t="s">
        <v>41</v>
      </c>
      <c r="I37" s="16" t="s">
        <v>197</v>
      </c>
      <c r="J37" s="16" t="s">
        <v>198</v>
      </c>
      <c r="K37" s="16" t="s">
        <v>52</v>
      </c>
    </row>
    <row r="38" spans="1:11">
      <c r="A38" s="16" t="s">
        <v>78</v>
      </c>
      <c r="B38" s="16" t="s">
        <v>199</v>
      </c>
      <c r="C38" s="16" t="s">
        <v>159</v>
      </c>
      <c r="D38" s="16" t="s">
        <v>48</v>
      </c>
      <c r="E38" s="16">
        <v>53700</v>
      </c>
      <c r="F38" s="16">
        <v>32</v>
      </c>
      <c r="G38" s="16">
        <v>8</v>
      </c>
      <c r="H38" s="16" t="s">
        <v>49</v>
      </c>
      <c r="I38" s="16" t="s">
        <v>200</v>
      </c>
      <c r="J38" s="16" t="s">
        <v>201</v>
      </c>
      <c r="K38" s="16" t="s">
        <v>44</v>
      </c>
    </row>
    <row r="39" spans="1:11">
      <c r="A39" s="16" t="s">
        <v>83</v>
      </c>
      <c r="B39" s="16" t="s">
        <v>202</v>
      </c>
      <c r="C39" s="16" t="s">
        <v>203</v>
      </c>
      <c r="D39" s="16" t="s">
        <v>56</v>
      </c>
      <c r="E39" s="16">
        <v>53800</v>
      </c>
      <c r="F39" s="16">
        <v>33</v>
      </c>
      <c r="G39" s="16">
        <v>9</v>
      </c>
      <c r="H39" s="16" t="s">
        <v>57</v>
      </c>
      <c r="I39" s="16" t="s">
        <v>204</v>
      </c>
      <c r="J39" s="16" t="s">
        <v>205</v>
      </c>
      <c r="K39" s="16" t="s">
        <v>52</v>
      </c>
    </row>
    <row r="40" spans="1:11">
      <c r="A40" s="16" t="s">
        <v>88</v>
      </c>
      <c r="B40" s="16" t="s">
        <v>206</v>
      </c>
      <c r="C40" s="16" t="s">
        <v>143</v>
      </c>
      <c r="D40" s="16" t="s">
        <v>63</v>
      </c>
      <c r="E40" s="16">
        <v>53900</v>
      </c>
      <c r="F40" s="16">
        <v>34</v>
      </c>
      <c r="G40" s="16">
        <v>10</v>
      </c>
      <c r="H40" s="16" t="s">
        <v>64</v>
      </c>
      <c r="I40" s="16" t="s">
        <v>207</v>
      </c>
      <c r="J40" s="16" t="s">
        <v>208</v>
      </c>
      <c r="K40" s="16" t="s">
        <v>44</v>
      </c>
    </row>
    <row r="41" spans="1:11">
      <c r="A41" s="16" t="s">
        <v>93</v>
      </c>
      <c r="B41" s="16" t="s">
        <v>209</v>
      </c>
      <c r="C41" s="16" t="s">
        <v>210</v>
      </c>
      <c r="D41" s="16" t="s">
        <v>10</v>
      </c>
      <c r="E41" s="16">
        <v>54000</v>
      </c>
      <c r="F41" s="16">
        <v>25</v>
      </c>
      <c r="G41" s="16">
        <v>11</v>
      </c>
      <c r="H41" s="16" t="s">
        <v>70</v>
      </c>
      <c r="I41" s="16" t="s">
        <v>211</v>
      </c>
      <c r="J41" s="16" t="s">
        <v>212</v>
      </c>
      <c r="K41" s="16" t="s">
        <v>52</v>
      </c>
    </row>
    <row r="42" spans="1:11">
      <c r="A42" s="16" t="s">
        <v>37</v>
      </c>
      <c r="B42" s="16" t="s">
        <v>213</v>
      </c>
      <c r="C42" s="16" t="s">
        <v>214</v>
      </c>
      <c r="D42" s="16" t="s">
        <v>40</v>
      </c>
      <c r="E42" s="16">
        <v>54100</v>
      </c>
      <c r="F42" s="16">
        <v>26</v>
      </c>
      <c r="G42" s="16">
        <v>12</v>
      </c>
      <c r="H42" s="16" t="s">
        <v>41</v>
      </c>
      <c r="I42" s="16" t="s">
        <v>215</v>
      </c>
      <c r="J42" s="16" t="s">
        <v>216</v>
      </c>
      <c r="K42" s="16" t="s">
        <v>44</v>
      </c>
    </row>
    <row r="43" spans="1:11">
      <c r="A43" s="16" t="s">
        <v>45</v>
      </c>
      <c r="B43" s="16" t="s">
        <v>217</v>
      </c>
      <c r="C43" s="16" t="s">
        <v>218</v>
      </c>
      <c r="D43" s="16" t="s">
        <v>48</v>
      </c>
      <c r="E43" s="16">
        <v>54200</v>
      </c>
      <c r="F43" s="16">
        <v>27</v>
      </c>
      <c r="G43" s="16">
        <v>13</v>
      </c>
      <c r="H43" s="16" t="s">
        <v>49</v>
      </c>
      <c r="I43" s="16" t="s">
        <v>219</v>
      </c>
      <c r="J43" s="16" t="s">
        <v>220</v>
      </c>
      <c r="K43" s="16" t="s">
        <v>52</v>
      </c>
    </row>
    <row r="44" spans="1:11">
      <c r="A44" s="16" t="s">
        <v>53</v>
      </c>
      <c r="B44" s="16" t="s">
        <v>221</v>
      </c>
      <c r="C44" s="16" t="s">
        <v>171</v>
      </c>
      <c r="D44" s="16" t="s">
        <v>56</v>
      </c>
      <c r="E44" s="16">
        <v>54300</v>
      </c>
      <c r="F44" s="16">
        <v>28</v>
      </c>
      <c r="G44" s="16">
        <v>14</v>
      </c>
      <c r="H44" s="16" t="s">
        <v>57</v>
      </c>
      <c r="I44" s="16" t="s">
        <v>222</v>
      </c>
      <c r="J44" s="16" t="s">
        <v>223</v>
      </c>
      <c r="K44" s="16" t="s">
        <v>44</v>
      </c>
    </row>
    <row r="45" spans="1:11">
      <c r="A45" s="16" t="s">
        <v>60</v>
      </c>
      <c r="B45" s="16" t="s">
        <v>224</v>
      </c>
      <c r="C45" s="16" t="s">
        <v>225</v>
      </c>
      <c r="D45" s="16" t="s">
        <v>63</v>
      </c>
      <c r="E45" s="16">
        <v>54400</v>
      </c>
      <c r="F45" s="16">
        <v>29</v>
      </c>
      <c r="G45" s="16">
        <v>15</v>
      </c>
      <c r="H45" s="16" t="s">
        <v>64</v>
      </c>
      <c r="I45" s="16" t="s">
        <v>226</v>
      </c>
      <c r="J45" s="16" t="s">
        <v>227</v>
      </c>
      <c r="K45" s="16" t="s">
        <v>52</v>
      </c>
    </row>
    <row r="46" spans="1:11">
      <c r="A46" s="16" t="s">
        <v>67</v>
      </c>
      <c r="B46" s="16" t="s">
        <v>228</v>
      </c>
      <c r="C46" s="16" t="s">
        <v>229</v>
      </c>
      <c r="D46" s="16" t="s">
        <v>10</v>
      </c>
      <c r="E46" s="16">
        <v>54500</v>
      </c>
      <c r="F46" s="16">
        <v>30</v>
      </c>
      <c r="G46" s="16">
        <v>1</v>
      </c>
      <c r="H46" s="16" t="s">
        <v>70</v>
      </c>
      <c r="I46" s="16" t="s">
        <v>230</v>
      </c>
      <c r="J46" s="16" t="s">
        <v>231</v>
      </c>
      <c r="K46" s="16" t="s">
        <v>44</v>
      </c>
    </row>
    <row r="47" spans="1:11">
      <c r="A47" s="16" t="s">
        <v>73</v>
      </c>
      <c r="B47" s="16" t="s">
        <v>232</v>
      </c>
      <c r="C47" s="16" t="s">
        <v>107</v>
      </c>
      <c r="D47" s="16" t="s">
        <v>40</v>
      </c>
      <c r="E47" s="16">
        <v>54600</v>
      </c>
      <c r="F47" s="16">
        <v>31</v>
      </c>
      <c r="G47" s="16">
        <v>2</v>
      </c>
      <c r="H47" s="16" t="s">
        <v>41</v>
      </c>
      <c r="I47" s="16" t="s">
        <v>233</v>
      </c>
      <c r="J47" s="16" t="s">
        <v>234</v>
      </c>
      <c r="K47" s="16" t="s">
        <v>52</v>
      </c>
    </row>
    <row r="48" spans="1:11">
      <c r="A48" s="16" t="s">
        <v>78</v>
      </c>
      <c r="B48" s="16" t="s">
        <v>235</v>
      </c>
      <c r="C48" s="16" t="s">
        <v>99</v>
      </c>
      <c r="D48" s="16" t="s">
        <v>48</v>
      </c>
      <c r="E48" s="16">
        <v>54700</v>
      </c>
      <c r="F48" s="16">
        <v>32</v>
      </c>
      <c r="G48" s="16">
        <v>3</v>
      </c>
      <c r="H48" s="16" t="s">
        <v>49</v>
      </c>
      <c r="I48" s="16" t="s">
        <v>236</v>
      </c>
      <c r="J48" s="16" t="s">
        <v>237</v>
      </c>
      <c r="K48" s="16" t="s">
        <v>44</v>
      </c>
    </row>
    <row r="49" spans="1:11">
      <c r="A49" s="16" t="s">
        <v>83</v>
      </c>
      <c r="B49" s="16" t="s">
        <v>238</v>
      </c>
      <c r="C49" s="16" t="s">
        <v>115</v>
      </c>
      <c r="D49" s="16" t="s">
        <v>56</v>
      </c>
      <c r="E49" s="16">
        <v>54800</v>
      </c>
      <c r="F49" s="16">
        <v>33</v>
      </c>
      <c r="G49" s="16">
        <v>4</v>
      </c>
      <c r="H49" s="16" t="s">
        <v>57</v>
      </c>
      <c r="I49" s="16" t="s">
        <v>239</v>
      </c>
      <c r="J49" s="16" t="s">
        <v>240</v>
      </c>
      <c r="K49" s="16" t="s">
        <v>52</v>
      </c>
    </row>
    <row r="50" spans="1:11">
      <c r="A50" s="16" t="s">
        <v>88</v>
      </c>
      <c r="B50" s="16" t="s">
        <v>241</v>
      </c>
      <c r="C50" s="16" t="s">
        <v>242</v>
      </c>
      <c r="D50" s="16" t="s">
        <v>63</v>
      </c>
      <c r="E50" s="16">
        <v>54900</v>
      </c>
      <c r="F50" s="16">
        <v>34</v>
      </c>
      <c r="G50" s="16">
        <v>5</v>
      </c>
      <c r="H50" s="16" t="s">
        <v>64</v>
      </c>
      <c r="I50" s="16" t="s">
        <v>243</v>
      </c>
      <c r="J50" s="16" t="s">
        <v>244</v>
      </c>
      <c r="K50" s="16" t="s">
        <v>44</v>
      </c>
    </row>
    <row r="51" spans="1:11">
      <c r="A51" s="16" t="s">
        <v>93</v>
      </c>
      <c r="B51" s="16" t="s">
        <v>245</v>
      </c>
      <c r="C51" s="16" t="s">
        <v>127</v>
      </c>
      <c r="D51" s="16" t="s">
        <v>10</v>
      </c>
      <c r="E51" s="16">
        <v>55000</v>
      </c>
      <c r="F51" s="16">
        <v>25</v>
      </c>
      <c r="G51" s="16">
        <v>6</v>
      </c>
      <c r="H51" s="16" t="s">
        <v>70</v>
      </c>
      <c r="I51" s="16" t="s">
        <v>246</v>
      </c>
      <c r="J51" s="16" t="s">
        <v>247</v>
      </c>
      <c r="K51" s="1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3"/>
  <sheetViews>
    <sheetView workbookViewId="0">
      <selection activeCell="B6" sqref="B6"/>
    </sheetView>
  </sheetViews>
  <sheetFormatPr defaultRowHeight="14.5"/>
  <cols>
    <col min="1" max="1" width="12.81640625" customWidth="1"/>
  </cols>
  <sheetData>
    <row r="2" spans="1:2">
      <c r="A2">
        <v>1</v>
      </c>
      <c r="B2" t="s">
        <v>250</v>
      </c>
    </row>
    <row r="3" spans="1:2">
      <c r="A3">
        <v>2</v>
      </c>
      <c r="B3" t="s">
        <v>251</v>
      </c>
    </row>
    <row r="4" spans="1:2">
      <c r="A4">
        <v>3</v>
      </c>
      <c r="B4" t="s">
        <v>252</v>
      </c>
    </row>
    <row r="5" spans="1:2">
      <c r="A5">
        <v>4</v>
      </c>
      <c r="B5" t="s">
        <v>253</v>
      </c>
    </row>
    <row r="6" spans="1:2">
      <c r="A6">
        <v>5</v>
      </c>
      <c r="B6" t="s">
        <v>254</v>
      </c>
    </row>
    <row r="7" spans="1:2">
      <c r="A7">
        <v>6</v>
      </c>
      <c r="B7" t="s">
        <v>255</v>
      </c>
    </row>
    <row r="8" spans="1:2">
      <c r="A8">
        <v>7</v>
      </c>
      <c r="B8" t="s">
        <v>256</v>
      </c>
    </row>
    <row r="9" spans="1:2">
      <c r="A9">
        <v>8</v>
      </c>
      <c r="B9" t="s">
        <v>257</v>
      </c>
    </row>
    <row r="10" spans="1:2">
      <c r="A10">
        <v>9</v>
      </c>
      <c r="B10" s="13" t="s">
        <v>258</v>
      </c>
    </row>
    <row r="11" spans="1:2">
      <c r="B11" s="13"/>
    </row>
    <row r="12" spans="1:2">
      <c r="B12" s="13" t="s">
        <v>248</v>
      </c>
    </row>
    <row r="13" spans="1:2">
      <c r="B13" s="1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7595-2F9D-4E83-B708-B448FD0902BD}">
  <dimension ref="A1:P21"/>
  <sheetViews>
    <sheetView zoomScale="85" zoomScaleNormal="85" workbookViewId="0">
      <selection activeCell="R7" sqref="R7"/>
    </sheetView>
  </sheetViews>
  <sheetFormatPr defaultRowHeight="14.5"/>
  <cols>
    <col min="1" max="1" width="12.36328125" bestFit="1" customWidth="1"/>
    <col min="2" max="2" width="12.08984375" bestFit="1" customWidth="1"/>
    <col min="7" max="7" width="10.7265625" bestFit="1" customWidth="1"/>
    <col min="8" max="8" width="15.26953125" bestFit="1" customWidth="1"/>
    <col min="13" max="13" width="12.36328125" bestFit="1" customWidth="1"/>
    <col min="14" max="14" width="10.1796875" bestFit="1" customWidth="1"/>
  </cols>
  <sheetData>
    <row r="1" spans="1:16" s="16" customFormat="1">
      <c r="A1" s="16" t="s">
        <v>250</v>
      </c>
      <c r="O1" t="s">
        <v>254</v>
      </c>
    </row>
    <row r="2" spans="1:16">
      <c r="G2" t="s">
        <v>252</v>
      </c>
      <c r="O2" s="18" t="s">
        <v>263</v>
      </c>
      <c r="P2" t="s">
        <v>268</v>
      </c>
    </row>
    <row r="3" spans="1:16">
      <c r="A3" s="18" t="s">
        <v>263</v>
      </c>
      <c r="B3" t="s">
        <v>262</v>
      </c>
      <c r="G3" s="18" t="s">
        <v>266</v>
      </c>
      <c r="H3" t="s">
        <v>265</v>
      </c>
      <c r="O3" s="16" t="s">
        <v>48</v>
      </c>
      <c r="P3" s="19">
        <v>524100</v>
      </c>
    </row>
    <row r="4" spans="1:16">
      <c r="A4" s="16" t="s">
        <v>48</v>
      </c>
      <c r="B4" s="19">
        <v>10</v>
      </c>
      <c r="G4" s="16" t="s">
        <v>44</v>
      </c>
      <c r="H4" s="19">
        <v>25</v>
      </c>
      <c r="O4" s="16" t="s">
        <v>63</v>
      </c>
      <c r="P4" s="19">
        <v>525800</v>
      </c>
    </row>
    <row r="5" spans="1:16">
      <c r="A5" s="16" t="s">
        <v>63</v>
      </c>
      <c r="B5" s="19">
        <v>10</v>
      </c>
      <c r="G5" s="16" t="s">
        <v>52</v>
      </c>
      <c r="H5" s="19">
        <v>25</v>
      </c>
      <c r="O5" s="16" t="s">
        <v>56</v>
      </c>
      <c r="P5" s="19">
        <v>525000</v>
      </c>
    </row>
    <row r="6" spans="1:16">
      <c r="A6" s="16" t="s">
        <v>56</v>
      </c>
      <c r="B6" s="19">
        <v>10</v>
      </c>
      <c r="G6" s="16" t="s">
        <v>261</v>
      </c>
      <c r="H6" s="19">
        <v>50</v>
      </c>
      <c r="O6" s="16" t="s">
        <v>40</v>
      </c>
      <c r="P6" s="19">
        <v>523200</v>
      </c>
    </row>
    <row r="7" spans="1:16">
      <c r="A7" s="16" t="s">
        <v>40</v>
      </c>
      <c r="B7" s="19">
        <v>10</v>
      </c>
      <c r="O7" s="16" t="s">
        <v>10</v>
      </c>
      <c r="P7" s="19">
        <v>526600</v>
      </c>
    </row>
    <row r="8" spans="1:16">
      <c r="A8" s="16" t="s">
        <v>10</v>
      </c>
      <c r="B8" s="19">
        <v>10</v>
      </c>
      <c r="O8" s="16" t="s">
        <v>260</v>
      </c>
      <c r="P8" s="19"/>
    </row>
    <row r="9" spans="1:16">
      <c r="A9" s="16" t="s">
        <v>261</v>
      </c>
      <c r="B9" s="19">
        <v>50</v>
      </c>
      <c r="O9" s="16" t="s">
        <v>261</v>
      </c>
      <c r="P9" s="19">
        <v>2624700</v>
      </c>
    </row>
    <row r="13" spans="1:16">
      <c r="A13" t="s">
        <v>251</v>
      </c>
      <c r="B13" s="17"/>
      <c r="C13" s="17"/>
      <c r="D13" s="17"/>
      <c r="E13" s="17"/>
      <c r="F13" s="17"/>
    </row>
    <row r="14" spans="1:16">
      <c r="A14" s="17"/>
      <c r="G14" t="s">
        <v>253</v>
      </c>
    </row>
    <row r="15" spans="1:16">
      <c r="A15" s="18" t="s">
        <v>259</v>
      </c>
      <c r="B15" t="s">
        <v>264</v>
      </c>
      <c r="G15" s="18" t="s">
        <v>267</v>
      </c>
      <c r="H15" t="s">
        <v>262</v>
      </c>
    </row>
    <row r="16" spans="1:16">
      <c r="A16" s="16" t="s">
        <v>48</v>
      </c>
      <c r="B16" s="19">
        <v>524100</v>
      </c>
      <c r="G16" s="16" t="s">
        <v>41</v>
      </c>
      <c r="H16" s="19">
        <v>10</v>
      </c>
    </row>
    <row r="17" spans="1:8">
      <c r="A17" s="16" t="s">
        <v>63</v>
      </c>
      <c r="B17" s="19">
        <v>525800</v>
      </c>
      <c r="G17" s="16" t="s">
        <v>49</v>
      </c>
      <c r="H17" s="19">
        <v>10</v>
      </c>
    </row>
    <row r="18" spans="1:8">
      <c r="A18" s="16" t="s">
        <v>56</v>
      </c>
      <c r="B18" s="19">
        <v>525000</v>
      </c>
      <c r="G18" s="16" t="s">
        <v>57</v>
      </c>
      <c r="H18" s="19">
        <v>10</v>
      </c>
    </row>
    <row r="19" spans="1:8">
      <c r="A19" s="16" t="s">
        <v>40</v>
      </c>
      <c r="B19" s="19">
        <v>523200</v>
      </c>
      <c r="G19" s="16" t="s">
        <v>64</v>
      </c>
      <c r="H19" s="19">
        <v>10</v>
      </c>
    </row>
    <row r="20" spans="1:8">
      <c r="A20" s="16" t="s">
        <v>10</v>
      </c>
      <c r="B20" s="19">
        <v>526600</v>
      </c>
      <c r="G20" s="16" t="s">
        <v>70</v>
      </c>
      <c r="H20" s="19">
        <v>10</v>
      </c>
    </row>
    <row r="21" spans="1:8">
      <c r="A21" s="16" t="s">
        <v>261</v>
      </c>
      <c r="B21" s="19">
        <v>2624700</v>
      </c>
      <c r="G21" s="16" t="s">
        <v>261</v>
      </c>
      <c r="H21" s="19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611C-CA2C-4EF6-A26E-ECE3F1AB8E85}">
  <dimension ref="A1:L41"/>
  <sheetViews>
    <sheetView workbookViewId="0">
      <selection activeCell="N5" sqref="N5"/>
    </sheetView>
  </sheetViews>
  <sheetFormatPr defaultRowHeight="14.5"/>
  <cols>
    <col min="1" max="1" width="17.26953125" customWidth="1"/>
    <col min="10" max="10" width="19.90625" customWidth="1"/>
  </cols>
  <sheetData>
    <row r="1" spans="1:12">
      <c r="A1" s="14" t="s">
        <v>26</v>
      </c>
      <c r="B1" s="15" t="s">
        <v>27</v>
      </c>
      <c r="C1" s="15" t="s">
        <v>28</v>
      </c>
      <c r="D1" s="15" t="s">
        <v>29</v>
      </c>
      <c r="E1" s="15" t="s">
        <v>30</v>
      </c>
      <c r="F1" s="15" t="s">
        <v>31</v>
      </c>
      <c r="G1" s="15" t="s">
        <v>32</v>
      </c>
      <c r="H1" s="15" t="s">
        <v>33</v>
      </c>
      <c r="I1" s="15" t="s">
        <v>34</v>
      </c>
      <c r="J1" s="15" t="s">
        <v>35</v>
      </c>
      <c r="K1" s="15" t="s">
        <v>36</v>
      </c>
      <c r="L1" s="20" t="s">
        <v>269</v>
      </c>
    </row>
    <row r="2" spans="1:12">
      <c r="A2" s="16" t="s">
        <v>37</v>
      </c>
      <c r="B2" s="16" t="s">
        <v>38</v>
      </c>
      <c r="C2" s="16" t="s">
        <v>39</v>
      </c>
      <c r="D2" s="16" t="s">
        <v>40</v>
      </c>
      <c r="E2" s="16">
        <v>50100</v>
      </c>
      <c r="F2" s="16">
        <v>26</v>
      </c>
      <c r="G2" s="16">
        <v>2</v>
      </c>
      <c r="H2" s="16" t="s">
        <v>41</v>
      </c>
      <c r="I2" s="16" t="s">
        <v>42</v>
      </c>
      <c r="J2" s="16" t="s">
        <v>43</v>
      </c>
      <c r="K2" s="16" t="s">
        <v>44</v>
      </c>
      <c r="L2" t="str">
        <f>IF(K2= "active","working","not working")</f>
        <v>working</v>
      </c>
    </row>
    <row r="3" spans="1:12">
      <c r="A3" s="16" t="s">
        <v>45</v>
      </c>
      <c r="B3" s="16" t="s">
        <v>46</v>
      </c>
      <c r="C3" s="16" t="s">
        <v>47</v>
      </c>
      <c r="D3" s="16" t="s">
        <v>48</v>
      </c>
      <c r="E3" s="16">
        <v>50200</v>
      </c>
      <c r="F3" s="16">
        <v>27</v>
      </c>
      <c r="G3" s="16">
        <v>3</v>
      </c>
      <c r="H3" s="16" t="s">
        <v>49</v>
      </c>
      <c r="I3" s="16" t="s">
        <v>50</v>
      </c>
      <c r="J3" s="16" t="s">
        <v>51</v>
      </c>
      <c r="K3" s="16" t="s">
        <v>52</v>
      </c>
      <c r="L3" t="str">
        <f t="shared" ref="L3:L41" si="0">IF(K3= "active","working","not working")</f>
        <v>not working</v>
      </c>
    </row>
    <row r="4" spans="1:12">
      <c r="A4" s="16" t="s">
        <v>53</v>
      </c>
      <c r="B4" s="16" t="s">
        <v>54</v>
      </c>
      <c r="C4" s="16" t="s">
        <v>55</v>
      </c>
      <c r="D4" s="16" t="s">
        <v>56</v>
      </c>
      <c r="E4" s="16">
        <v>50300</v>
      </c>
      <c r="F4" s="16">
        <v>28</v>
      </c>
      <c r="G4" s="16">
        <v>4</v>
      </c>
      <c r="H4" s="16" t="s">
        <v>57</v>
      </c>
      <c r="I4" s="16" t="s">
        <v>58</v>
      </c>
      <c r="J4" s="16" t="s">
        <v>59</v>
      </c>
      <c r="K4" s="16" t="s">
        <v>44</v>
      </c>
      <c r="L4" t="str">
        <f t="shared" si="0"/>
        <v>working</v>
      </c>
    </row>
    <row r="5" spans="1:12">
      <c r="A5" s="16" t="s">
        <v>60</v>
      </c>
      <c r="B5" s="16" t="s">
        <v>61</v>
      </c>
      <c r="C5" s="16" t="s">
        <v>62</v>
      </c>
      <c r="D5" s="16" t="s">
        <v>63</v>
      </c>
      <c r="E5" s="16">
        <v>50300</v>
      </c>
      <c r="F5" s="16">
        <v>29</v>
      </c>
      <c r="G5" s="16">
        <v>5</v>
      </c>
      <c r="H5" s="16" t="s">
        <v>64</v>
      </c>
      <c r="I5" s="16" t="s">
        <v>65</v>
      </c>
      <c r="J5" s="16" t="s">
        <v>66</v>
      </c>
      <c r="K5" s="16" t="s">
        <v>52</v>
      </c>
      <c r="L5" t="str">
        <f t="shared" si="0"/>
        <v>not working</v>
      </c>
    </row>
    <row r="6" spans="1:12">
      <c r="A6" s="16" t="s">
        <v>67</v>
      </c>
      <c r="B6" s="16" t="s">
        <v>68</v>
      </c>
      <c r="C6" s="16" t="s">
        <v>69</v>
      </c>
      <c r="D6" s="16" t="s">
        <v>10</v>
      </c>
      <c r="E6" s="16">
        <v>50300</v>
      </c>
      <c r="F6" s="16">
        <v>30</v>
      </c>
      <c r="G6" s="16">
        <v>6</v>
      </c>
      <c r="H6" s="16" t="s">
        <v>70</v>
      </c>
      <c r="I6" s="16" t="s">
        <v>71</v>
      </c>
      <c r="J6" s="16" t="s">
        <v>72</v>
      </c>
      <c r="K6" s="16" t="s">
        <v>44</v>
      </c>
      <c r="L6" t="str">
        <f t="shared" si="0"/>
        <v>working</v>
      </c>
    </row>
    <row r="7" spans="1:12">
      <c r="A7" s="16" t="s">
        <v>73</v>
      </c>
      <c r="B7" s="16" t="s">
        <v>74</v>
      </c>
      <c r="C7" s="16" t="s">
        <v>75</v>
      </c>
      <c r="D7" s="16" t="s">
        <v>40</v>
      </c>
      <c r="E7" s="16">
        <v>50300</v>
      </c>
      <c r="F7" s="16">
        <v>31</v>
      </c>
      <c r="G7" s="16">
        <v>7</v>
      </c>
      <c r="H7" s="16" t="s">
        <v>41</v>
      </c>
      <c r="I7" s="16" t="s">
        <v>76</v>
      </c>
      <c r="J7" s="16" t="s">
        <v>77</v>
      </c>
      <c r="K7" s="16" t="s">
        <v>52</v>
      </c>
      <c r="L7" t="str">
        <f t="shared" si="0"/>
        <v>not working</v>
      </c>
    </row>
    <row r="8" spans="1:12">
      <c r="A8" s="16" t="s">
        <v>78</v>
      </c>
      <c r="B8" s="16" t="s">
        <v>79</v>
      </c>
      <c r="C8" s="16" t="s">
        <v>80</v>
      </c>
      <c r="D8" s="16" t="s">
        <v>48</v>
      </c>
      <c r="E8" s="16">
        <v>50300</v>
      </c>
      <c r="F8" s="16">
        <v>32</v>
      </c>
      <c r="G8" s="16">
        <v>8</v>
      </c>
      <c r="H8" s="16" t="s">
        <v>49</v>
      </c>
      <c r="I8" s="16" t="s">
        <v>81</v>
      </c>
      <c r="J8" s="16" t="s">
        <v>82</v>
      </c>
      <c r="K8" s="16" t="s">
        <v>44</v>
      </c>
      <c r="L8" t="str">
        <f t="shared" si="0"/>
        <v>working</v>
      </c>
    </row>
    <row r="9" spans="1:12">
      <c r="A9" s="16" t="s">
        <v>83</v>
      </c>
      <c r="B9" s="16" t="s">
        <v>84</v>
      </c>
      <c r="C9" s="16" t="s">
        <v>85</v>
      </c>
      <c r="D9" s="16" t="s">
        <v>56</v>
      </c>
      <c r="E9" s="16">
        <v>50300</v>
      </c>
      <c r="F9" s="16">
        <v>33</v>
      </c>
      <c r="G9" s="16">
        <v>9</v>
      </c>
      <c r="H9" s="16" t="s">
        <v>57</v>
      </c>
      <c r="I9" s="16" t="s">
        <v>86</v>
      </c>
      <c r="J9" s="16" t="s">
        <v>87</v>
      </c>
      <c r="K9" s="16" t="s">
        <v>52</v>
      </c>
      <c r="L9" t="str">
        <f t="shared" si="0"/>
        <v>not working</v>
      </c>
    </row>
    <row r="10" spans="1:12">
      <c r="A10" s="16" t="s">
        <v>88</v>
      </c>
      <c r="B10" s="16" t="s">
        <v>89</v>
      </c>
      <c r="C10" s="16" t="s">
        <v>90</v>
      </c>
      <c r="D10" s="16" t="s">
        <v>63</v>
      </c>
      <c r="E10" s="16">
        <v>50300</v>
      </c>
      <c r="F10" s="16">
        <v>34</v>
      </c>
      <c r="G10" s="16">
        <v>10</v>
      </c>
      <c r="H10" s="16" t="s">
        <v>64</v>
      </c>
      <c r="I10" s="16" t="s">
        <v>91</v>
      </c>
      <c r="J10" s="16" t="s">
        <v>92</v>
      </c>
      <c r="K10" s="16" t="s">
        <v>44</v>
      </c>
      <c r="L10" t="str">
        <f t="shared" si="0"/>
        <v>working</v>
      </c>
    </row>
    <row r="11" spans="1:12">
      <c r="A11" s="16" t="s">
        <v>93</v>
      </c>
      <c r="B11" s="16" t="s">
        <v>94</v>
      </c>
      <c r="C11" s="16" t="s">
        <v>95</v>
      </c>
      <c r="D11" s="16" t="s">
        <v>10</v>
      </c>
      <c r="E11" s="16">
        <v>50300</v>
      </c>
      <c r="F11" s="16">
        <v>25</v>
      </c>
      <c r="G11" s="16">
        <v>11</v>
      </c>
      <c r="H11" s="16" t="s">
        <v>70</v>
      </c>
      <c r="I11" s="16" t="s">
        <v>96</v>
      </c>
      <c r="J11" s="16" t="s">
        <v>97</v>
      </c>
      <c r="K11" s="16" t="s">
        <v>52</v>
      </c>
      <c r="L11" t="str">
        <f t="shared" si="0"/>
        <v>not working</v>
      </c>
    </row>
    <row r="12" spans="1:12">
      <c r="A12" s="16" t="s">
        <v>37</v>
      </c>
      <c r="B12" s="16" t="s">
        <v>98</v>
      </c>
      <c r="C12" s="16" t="s">
        <v>99</v>
      </c>
      <c r="D12" s="16" t="s">
        <v>40</v>
      </c>
      <c r="E12" s="16">
        <v>51100</v>
      </c>
      <c r="F12" s="16">
        <v>26</v>
      </c>
      <c r="G12" s="16">
        <v>12</v>
      </c>
      <c r="H12" s="16" t="s">
        <v>41</v>
      </c>
      <c r="I12" s="16" t="s">
        <v>100</v>
      </c>
      <c r="J12" s="16" t="s">
        <v>101</v>
      </c>
      <c r="K12" s="16" t="s">
        <v>44</v>
      </c>
      <c r="L12" t="str">
        <f t="shared" si="0"/>
        <v>working</v>
      </c>
    </row>
    <row r="13" spans="1:12">
      <c r="A13" s="16" t="s">
        <v>45</v>
      </c>
      <c r="B13" s="16" t="s">
        <v>102</v>
      </c>
      <c r="C13" s="16" t="s">
        <v>103</v>
      </c>
      <c r="D13" s="16" t="s">
        <v>48</v>
      </c>
      <c r="E13" s="16">
        <v>51200</v>
      </c>
      <c r="F13" s="16">
        <v>27</v>
      </c>
      <c r="G13" s="16">
        <v>13</v>
      </c>
      <c r="H13" s="16" t="s">
        <v>49</v>
      </c>
      <c r="I13" s="16" t="s">
        <v>104</v>
      </c>
      <c r="J13" s="16" t="s">
        <v>105</v>
      </c>
      <c r="K13" s="16" t="s">
        <v>52</v>
      </c>
      <c r="L13" t="str">
        <f t="shared" si="0"/>
        <v>not working</v>
      </c>
    </row>
    <row r="14" spans="1:12">
      <c r="A14" s="16" t="s">
        <v>53</v>
      </c>
      <c r="B14" s="16" t="s">
        <v>106</v>
      </c>
      <c r="C14" s="16" t="s">
        <v>107</v>
      </c>
      <c r="D14" s="16" t="s">
        <v>56</v>
      </c>
      <c r="E14" s="16">
        <v>51300</v>
      </c>
      <c r="F14" s="16">
        <v>28</v>
      </c>
      <c r="G14" s="16">
        <v>14</v>
      </c>
      <c r="H14" s="16" t="s">
        <v>57</v>
      </c>
      <c r="I14" s="16" t="s">
        <v>108</v>
      </c>
      <c r="J14" s="16" t="s">
        <v>109</v>
      </c>
      <c r="K14" s="16" t="s">
        <v>44</v>
      </c>
      <c r="L14" t="str">
        <f t="shared" si="0"/>
        <v>working</v>
      </c>
    </row>
    <row r="15" spans="1:12">
      <c r="A15" s="16" t="s">
        <v>60</v>
      </c>
      <c r="B15" s="16" t="s">
        <v>110</v>
      </c>
      <c r="C15" s="16" t="s">
        <v>111</v>
      </c>
      <c r="D15" s="16" t="s">
        <v>63</v>
      </c>
      <c r="E15" s="16">
        <v>51400</v>
      </c>
      <c r="F15" s="16">
        <v>29</v>
      </c>
      <c r="G15" s="16">
        <v>15</v>
      </c>
      <c r="H15" s="16" t="s">
        <v>64</v>
      </c>
      <c r="I15" s="16" t="s">
        <v>112</v>
      </c>
      <c r="J15" s="16" t="s">
        <v>113</v>
      </c>
      <c r="K15" s="16" t="s">
        <v>52</v>
      </c>
      <c r="L15" t="str">
        <f t="shared" si="0"/>
        <v>not working</v>
      </c>
    </row>
    <row r="16" spans="1:12">
      <c r="A16" s="16" t="s">
        <v>67</v>
      </c>
      <c r="B16" s="16" t="s">
        <v>114</v>
      </c>
      <c r="C16" s="16" t="s">
        <v>115</v>
      </c>
      <c r="D16" s="16" t="s">
        <v>10</v>
      </c>
      <c r="E16" s="16">
        <v>51500</v>
      </c>
      <c r="F16" s="16">
        <v>30</v>
      </c>
      <c r="G16" s="16">
        <v>1</v>
      </c>
      <c r="H16" s="16" t="s">
        <v>70</v>
      </c>
      <c r="I16" s="16" t="s">
        <v>116</v>
      </c>
      <c r="J16" s="16" t="s">
        <v>117</v>
      </c>
      <c r="K16" s="16" t="s">
        <v>44</v>
      </c>
      <c r="L16" t="str">
        <f t="shared" si="0"/>
        <v>working</v>
      </c>
    </row>
    <row r="17" spans="1:12">
      <c r="A17" s="16" t="s">
        <v>73</v>
      </c>
      <c r="B17" s="16" t="s">
        <v>118</v>
      </c>
      <c r="C17" s="16" t="s">
        <v>119</v>
      </c>
      <c r="D17" s="16" t="s">
        <v>40</v>
      </c>
      <c r="E17" s="16">
        <v>51600</v>
      </c>
      <c r="F17" s="16">
        <v>31</v>
      </c>
      <c r="G17" s="16">
        <v>2</v>
      </c>
      <c r="H17" s="16" t="s">
        <v>41</v>
      </c>
      <c r="I17" s="16" t="s">
        <v>120</v>
      </c>
      <c r="J17" s="16" t="s">
        <v>121</v>
      </c>
      <c r="K17" s="16" t="s">
        <v>52</v>
      </c>
      <c r="L17" t="str">
        <f t="shared" si="0"/>
        <v>not working</v>
      </c>
    </row>
    <row r="18" spans="1:12">
      <c r="A18" s="16" t="s">
        <v>78</v>
      </c>
      <c r="B18" s="16" t="s">
        <v>122</v>
      </c>
      <c r="C18" s="16" t="s">
        <v>123</v>
      </c>
      <c r="D18" s="16" t="s">
        <v>48</v>
      </c>
      <c r="E18" s="16">
        <v>51700</v>
      </c>
      <c r="F18" s="16">
        <v>32</v>
      </c>
      <c r="G18" s="16">
        <v>3</v>
      </c>
      <c r="H18" s="16" t="s">
        <v>49</v>
      </c>
      <c r="I18" s="16" t="s">
        <v>124</v>
      </c>
      <c r="J18" s="16" t="s">
        <v>125</v>
      </c>
      <c r="K18" s="16" t="s">
        <v>44</v>
      </c>
      <c r="L18" t="str">
        <f t="shared" si="0"/>
        <v>working</v>
      </c>
    </row>
    <row r="19" spans="1:12">
      <c r="A19" s="16" t="s">
        <v>83</v>
      </c>
      <c r="B19" s="16" t="s">
        <v>126</v>
      </c>
      <c r="C19" s="16" t="s">
        <v>127</v>
      </c>
      <c r="D19" s="16" t="s">
        <v>56</v>
      </c>
      <c r="E19" s="16">
        <v>51800</v>
      </c>
      <c r="F19" s="16">
        <v>33</v>
      </c>
      <c r="G19" s="16">
        <v>4</v>
      </c>
      <c r="H19" s="16" t="s">
        <v>57</v>
      </c>
      <c r="I19" s="16" t="s">
        <v>128</v>
      </c>
      <c r="J19" s="16" t="s">
        <v>129</v>
      </c>
      <c r="K19" s="16" t="s">
        <v>52</v>
      </c>
      <c r="L19" t="str">
        <f t="shared" si="0"/>
        <v>not working</v>
      </c>
    </row>
    <row r="20" spans="1:12">
      <c r="A20" s="16" t="s">
        <v>88</v>
      </c>
      <c r="B20" s="16" t="s">
        <v>130</v>
      </c>
      <c r="C20" s="16" t="s">
        <v>131</v>
      </c>
      <c r="D20" s="16" t="s">
        <v>63</v>
      </c>
      <c r="E20" s="16">
        <v>51900</v>
      </c>
      <c r="F20" s="16">
        <v>34</v>
      </c>
      <c r="G20" s="16">
        <v>5</v>
      </c>
      <c r="H20" s="16" t="s">
        <v>64</v>
      </c>
      <c r="I20" s="16" t="s">
        <v>132</v>
      </c>
      <c r="J20" s="16" t="s">
        <v>133</v>
      </c>
      <c r="K20" s="16" t="s">
        <v>44</v>
      </c>
      <c r="L20" t="str">
        <f t="shared" si="0"/>
        <v>working</v>
      </c>
    </row>
    <row r="21" spans="1:12">
      <c r="A21" s="16" t="s">
        <v>93</v>
      </c>
      <c r="B21" s="16" t="s">
        <v>134</v>
      </c>
      <c r="C21" s="16" t="s">
        <v>135</v>
      </c>
      <c r="D21" s="16" t="s">
        <v>10</v>
      </c>
      <c r="E21" s="16">
        <v>52000</v>
      </c>
      <c r="F21" s="16">
        <v>25</v>
      </c>
      <c r="G21" s="16">
        <v>6</v>
      </c>
      <c r="H21" s="16" t="s">
        <v>70</v>
      </c>
      <c r="I21" s="16" t="s">
        <v>136</v>
      </c>
      <c r="J21" s="16" t="s">
        <v>137</v>
      </c>
      <c r="K21" s="16" t="s">
        <v>52</v>
      </c>
      <c r="L21" t="str">
        <f t="shared" si="0"/>
        <v>not working</v>
      </c>
    </row>
    <row r="22" spans="1:12">
      <c r="A22" s="16" t="s">
        <v>37</v>
      </c>
      <c r="B22" s="16" t="s">
        <v>138</v>
      </c>
      <c r="C22" s="16" t="s">
        <v>139</v>
      </c>
      <c r="D22" s="16" t="s">
        <v>40</v>
      </c>
      <c r="E22" s="16">
        <v>52100</v>
      </c>
      <c r="F22" s="16">
        <v>26</v>
      </c>
      <c r="G22" s="16">
        <v>7</v>
      </c>
      <c r="H22" s="16" t="s">
        <v>41</v>
      </c>
      <c r="I22" s="16" t="s">
        <v>140</v>
      </c>
      <c r="J22" s="16" t="s">
        <v>141</v>
      </c>
      <c r="K22" s="16" t="s">
        <v>44</v>
      </c>
      <c r="L22" t="str">
        <f t="shared" si="0"/>
        <v>working</v>
      </c>
    </row>
    <row r="23" spans="1:12">
      <c r="A23" s="16" t="s">
        <v>45</v>
      </c>
      <c r="B23" s="16" t="s">
        <v>142</v>
      </c>
      <c r="C23" s="16" t="s">
        <v>143</v>
      </c>
      <c r="D23" s="16" t="s">
        <v>48</v>
      </c>
      <c r="E23" s="16">
        <v>52200</v>
      </c>
      <c r="F23" s="16">
        <v>27</v>
      </c>
      <c r="G23" s="16">
        <v>8</v>
      </c>
      <c r="H23" s="16" t="s">
        <v>49</v>
      </c>
      <c r="I23" s="16" t="s">
        <v>144</v>
      </c>
      <c r="J23" s="16" t="s">
        <v>145</v>
      </c>
      <c r="K23" s="16" t="s">
        <v>52</v>
      </c>
      <c r="L23" t="str">
        <f t="shared" si="0"/>
        <v>not working</v>
      </c>
    </row>
    <row r="24" spans="1:12">
      <c r="A24" s="16" t="s">
        <v>53</v>
      </c>
      <c r="B24" s="16" t="s">
        <v>146</v>
      </c>
      <c r="C24" s="16" t="s">
        <v>147</v>
      </c>
      <c r="D24" s="16" t="s">
        <v>56</v>
      </c>
      <c r="E24" s="16">
        <v>52300</v>
      </c>
      <c r="F24" s="16">
        <v>28</v>
      </c>
      <c r="G24" s="16">
        <v>9</v>
      </c>
      <c r="H24" s="16" t="s">
        <v>57</v>
      </c>
      <c r="I24" s="16" t="s">
        <v>148</v>
      </c>
      <c r="J24" s="16" t="s">
        <v>149</v>
      </c>
      <c r="K24" s="16" t="s">
        <v>44</v>
      </c>
      <c r="L24" t="str">
        <f t="shared" si="0"/>
        <v>working</v>
      </c>
    </row>
    <row r="25" spans="1:12">
      <c r="A25" s="16" t="s">
        <v>60</v>
      </c>
      <c r="B25" s="16" t="s">
        <v>150</v>
      </c>
      <c r="C25" s="16" t="s">
        <v>151</v>
      </c>
      <c r="D25" s="16" t="s">
        <v>63</v>
      </c>
      <c r="E25" s="16">
        <v>52400</v>
      </c>
      <c r="F25" s="16">
        <v>29</v>
      </c>
      <c r="G25" s="16">
        <v>10</v>
      </c>
      <c r="H25" s="16" t="s">
        <v>64</v>
      </c>
      <c r="I25" s="16" t="s">
        <v>152</v>
      </c>
      <c r="J25" s="16" t="s">
        <v>153</v>
      </c>
      <c r="K25" s="16" t="s">
        <v>52</v>
      </c>
      <c r="L25" t="str">
        <f t="shared" si="0"/>
        <v>not working</v>
      </c>
    </row>
    <row r="26" spans="1:12">
      <c r="A26" s="16" t="s">
        <v>67</v>
      </c>
      <c r="B26" s="16" t="s">
        <v>154</v>
      </c>
      <c r="C26" s="16" t="s">
        <v>155</v>
      </c>
      <c r="D26" s="16" t="s">
        <v>10</v>
      </c>
      <c r="E26" s="16">
        <v>52500</v>
      </c>
      <c r="F26" s="16">
        <v>30</v>
      </c>
      <c r="G26" s="16">
        <v>11</v>
      </c>
      <c r="H26" s="16" t="s">
        <v>70</v>
      </c>
      <c r="I26" s="16" t="s">
        <v>156</v>
      </c>
      <c r="J26" s="16" t="s">
        <v>157</v>
      </c>
      <c r="K26" s="16" t="s">
        <v>44</v>
      </c>
      <c r="L26" t="str">
        <f t="shared" si="0"/>
        <v>working</v>
      </c>
    </row>
    <row r="27" spans="1:12">
      <c r="A27" s="16" t="s">
        <v>73</v>
      </c>
      <c r="B27" s="16" t="s">
        <v>158</v>
      </c>
      <c r="C27" s="16" t="s">
        <v>159</v>
      </c>
      <c r="D27" s="16" t="s">
        <v>40</v>
      </c>
      <c r="E27" s="16">
        <v>52600</v>
      </c>
      <c r="F27" s="16">
        <v>31</v>
      </c>
      <c r="G27" s="16">
        <v>12</v>
      </c>
      <c r="H27" s="16" t="s">
        <v>41</v>
      </c>
      <c r="I27" s="16" t="s">
        <v>160</v>
      </c>
      <c r="J27" s="16" t="s">
        <v>161</v>
      </c>
      <c r="K27" s="16" t="s">
        <v>52</v>
      </c>
      <c r="L27" t="str">
        <f t="shared" si="0"/>
        <v>not working</v>
      </c>
    </row>
    <row r="28" spans="1:12">
      <c r="A28" s="16" t="s">
        <v>78</v>
      </c>
      <c r="B28" s="16" t="s">
        <v>162</v>
      </c>
      <c r="C28" s="16" t="s">
        <v>163</v>
      </c>
      <c r="D28" s="16" t="s">
        <v>48</v>
      </c>
      <c r="E28" s="16">
        <v>52700</v>
      </c>
      <c r="F28" s="16">
        <v>32</v>
      </c>
      <c r="G28" s="16">
        <v>13</v>
      </c>
      <c r="H28" s="16" t="s">
        <v>49</v>
      </c>
      <c r="I28" s="16" t="s">
        <v>164</v>
      </c>
      <c r="J28" s="16" t="s">
        <v>165</v>
      </c>
      <c r="K28" s="16" t="s">
        <v>44</v>
      </c>
      <c r="L28" t="str">
        <f t="shared" si="0"/>
        <v>working</v>
      </c>
    </row>
    <row r="29" spans="1:12">
      <c r="A29" s="16" t="s">
        <v>83</v>
      </c>
      <c r="B29" s="16" t="s">
        <v>166</v>
      </c>
      <c r="C29" s="16" t="s">
        <v>167</v>
      </c>
      <c r="D29" s="16" t="s">
        <v>56</v>
      </c>
      <c r="E29" s="16">
        <v>52800</v>
      </c>
      <c r="F29" s="16">
        <v>33</v>
      </c>
      <c r="G29" s="16">
        <v>14</v>
      </c>
      <c r="H29" s="16" t="s">
        <v>57</v>
      </c>
      <c r="I29" s="16" t="s">
        <v>168</v>
      </c>
      <c r="J29" s="16" t="s">
        <v>169</v>
      </c>
      <c r="K29" s="16" t="s">
        <v>52</v>
      </c>
      <c r="L29" t="str">
        <f t="shared" si="0"/>
        <v>not working</v>
      </c>
    </row>
    <row r="30" spans="1:12">
      <c r="A30" s="16" t="s">
        <v>88</v>
      </c>
      <c r="B30" s="16" t="s">
        <v>170</v>
      </c>
      <c r="C30" s="16" t="s">
        <v>171</v>
      </c>
      <c r="D30" s="16" t="s">
        <v>63</v>
      </c>
      <c r="E30" s="16">
        <v>52900</v>
      </c>
      <c r="F30" s="16">
        <v>34</v>
      </c>
      <c r="G30" s="16">
        <v>15</v>
      </c>
      <c r="H30" s="16" t="s">
        <v>64</v>
      </c>
      <c r="I30" s="16" t="s">
        <v>172</v>
      </c>
      <c r="J30" s="16" t="s">
        <v>173</v>
      </c>
      <c r="K30" s="16" t="s">
        <v>44</v>
      </c>
      <c r="L30" t="str">
        <f t="shared" si="0"/>
        <v>working</v>
      </c>
    </row>
    <row r="31" spans="1:12">
      <c r="A31" s="16" t="s">
        <v>93</v>
      </c>
      <c r="B31" s="16" t="s">
        <v>174</v>
      </c>
      <c r="C31" s="16" t="s">
        <v>175</v>
      </c>
      <c r="D31" s="16" t="s">
        <v>10</v>
      </c>
      <c r="E31" s="16">
        <v>53000</v>
      </c>
      <c r="F31" s="16">
        <v>25</v>
      </c>
      <c r="G31" s="16">
        <v>1</v>
      </c>
      <c r="H31" s="16" t="s">
        <v>70</v>
      </c>
      <c r="I31" s="16" t="s">
        <v>176</v>
      </c>
      <c r="J31" s="16" t="s">
        <v>177</v>
      </c>
      <c r="K31" s="16" t="s">
        <v>52</v>
      </c>
      <c r="L31" t="str">
        <f t="shared" si="0"/>
        <v>not working</v>
      </c>
    </row>
    <row r="32" spans="1:12">
      <c r="A32" s="16" t="s">
        <v>37</v>
      </c>
      <c r="B32" s="16" t="s">
        <v>178</v>
      </c>
      <c r="C32" s="16" t="s">
        <v>179</v>
      </c>
      <c r="D32" s="16" t="s">
        <v>40</v>
      </c>
      <c r="E32" s="16">
        <v>53100</v>
      </c>
      <c r="F32" s="16">
        <v>26</v>
      </c>
      <c r="G32" s="16">
        <v>2</v>
      </c>
      <c r="H32" s="16" t="s">
        <v>41</v>
      </c>
      <c r="I32" s="16" t="s">
        <v>180</v>
      </c>
      <c r="J32" s="16" t="s">
        <v>181</v>
      </c>
      <c r="K32" s="16" t="s">
        <v>44</v>
      </c>
      <c r="L32" t="str">
        <f t="shared" si="0"/>
        <v>working</v>
      </c>
    </row>
    <row r="33" spans="1:12">
      <c r="A33" s="16" t="s">
        <v>45</v>
      </c>
      <c r="B33" s="16" t="s">
        <v>182</v>
      </c>
      <c r="C33" s="16" t="s">
        <v>183</v>
      </c>
      <c r="D33" s="16" t="s">
        <v>48</v>
      </c>
      <c r="E33" s="16">
        <v>53200</v>
      </c>
      <c r="F33" s="16">
        <v>27</v>
      </c>
      <c r="G33" s="16">
        <v>3</v>
      </c>
      <c r="H33" s="16" t="s">
        <v>49</v>
      </c>
      <c r="I33" s="16" t="s">
        <v>184</v>
      </c>
      <c r="J33" s="16" t="s">
        <v>185</v>
      </c>
      <c r="K33" s="16" t="s">
        <v>52</v>
      </c>
      <c r="L33" t="str">
        <f t="shared" si="0"/>
        <v>not working</v>
      </c>
    </row>
    <row r="34" spans="1:12">
      <c r="A34" s="16" t="s">
        <v>53</v>
      </c>
      <c r="B34" s="16" t="s">
        <v>186</v>
      </c>
      <c r="C34" s="16" t="s">
        <v>187</v>
      </c>
      <c r="D34" s="16" t="s">
        <v>56</v>
      </c>
      <c r="E34" s="16">
        <v>53300</v>
      </c>
      <c r="F34" s="16">
        <v>28</v>
      </c>
      <c r="G34" s="16">
        <v>4</v>
      </c>
      <c r="H34" s="16" t="s">
        <v>57</v>
      </c>
      <c r="I34" s="16" t="s">
        <v>188</v>
      </c>
      <c r="J34" s="16" t="s">
        <v>189</v>
      </c>
      <c r="K34" s="16" t="s">
        <v>44</v>
      </c>
      <c r="L34" t="str">
        <f t="shared" si="0"/>
        <v>working</v>
      </c>
    </row>
    <row r="35" spans="1:12">
      <c r="A35" s="16" t="s">
        <v>83</v>
      </c>
      <c r="B35" s="16" t="s">
        <v>202</v>
      </c>
      <c r="C35" s="16" t="s">
        <v>203</v>
      </c>
      <c r="D35" s="16" t="s">
        <v>56</v>
      </c>
      <c r="E35" s="16">
        <v>53800</v>
      </c>
      <c r="F35" s="16">
        <v>33</v>
      </c>
      <c r="G35" s="16">
        <v>9</v>
      </c>
      <c r="H35" s="16" t="s">
        <v>57</v>
      </c>
      <c r="I35" s="16" t="s">
        <v>204</v>
      </c>
      <c r="J35" s="16" t="s">
        <v>205</v>
      </c>
      <c r="K35" s="16" t="s">
        <v>52</v>
      </c>
      <c r="L35" t="str">
        <f t="shared" si="0"/>
        <v>not working</v>
      </c>
    </row>
    <row r="36" spans="1:12">
      <c r="A36" s="16" t="s">
        <v>93</v>
      </c>
      <c r="B36" s="16" t="s">
        <v>209</v>
      </c>
      <c r="C36" s="16" t="s">
        <v>210</v>
      </c>
      <c r="D36" s="16" t="s">
        <v>10</v>
      </c>
      <c r="E36" s="16">
        <v>54000</v>
      </c>
      <c r="F36" s="16">
        <v>25</v>
      </c>
      <c r="G36" s="16">
        <v>11</v>
      </c>
      <c r="H36" s="16" t="s">
        <v>70</v>
      </c>
      <c r="I36" s="16" t="s">
        <v>211</v>
      </c>
      <c r="J36" s="16" t="s">
        <v>212</v>
      </c>
      <c r="K36" s="16" t="s">
        <v>52</v>
      </c>
      <c r="L36" t="str">
        <f t="shared" si="0"/>
        <v>not working</v>
      </c>
    </row>
    <row r="37" spans="1:12">
      <c r="A37" s="16" t="s">
        <v>37</v>
      </c>
      <c r="B37" s="16" t="s">
        <v>213</v>
      </c>
      <c r="C37" s="16" t="s">
        <v>214</v>
      </c>
      <c r="D37" s="16" t="s">
        <v>40</v>
      </c>
      <c r="E37" s="16">
        <v>54100</v>
      </c>
      <c r="F37" s="16">
        <v>26</v>
      </c>
      <c r="G37" s="16">
        <v>12</v>
      </c>
      <c r="H37" s="16" t="s">
        <v>41</v>
      </c>
      <c r="I37" s="16" t="s">
        <v>215</v>
      </c>
      <c r="J37" s="16" t="s">
        <v>216</v>
      </c>
      <c r="K37" s="16" t="s">
        <v>44</v>
      </c>
      <c r="L37" t="str">
        <f t="shared" si="0"/>
        <v>working</v>
      </c>
    </row>
    <row r="38" spans="1:12">
      <c r="A38" s="16" t="s">
        <v>45</v>
      </c>
      <c r="B38" s="16" t="s">
        <v>217</v>
      </c>
      <c r="C38" s="16" t="s">
        <v>218</v>
      </c>
      <c r="D38" s="16" t="s">
        <v>48</v>
      </c>
      <c r="E38" s="16">
        <v>54200</v>
      </c>
      <c r="F38" s="16">
        <v>27</v>
      </c>
      <c r="G38" s="16">
        <v>13</v>
      </c>
      <c r="H38" s="16" t="s">
        <v>49</v>
      </c>
      <c r="I38" s="16" t="s">
        <v>219</v>
      </c>
      <c r="J38" s="16" t="s">
        <v>220</v>
      </c>
      <c r="K38" s="16" t="s">
        <v>52</v>
      </c>
      <c r="L38" t="str">
        <f t="shared" si="0"/>
        <v>not working</v>
      </c>
    </row>
    <row r="39" spans="1:12">
      <c r="A39" s="16" t="s">
        <v>60</v>
      </c>
      <c r="B39" s="16" t="s">
        <v>224</v>
      </c>
      <c r="C39" s="16" t="s">
        <v>225</v>
      </c>
      <c r="D39" s="16" t="s">
        <v>63</v>
      </c>
      <c r="E39" s="16">
        <v>54400</v>
      </c>
      <c r="F39" s="16">
        <v>29</v>
      </c>
      <c r="G39" s="16">
        <v>15</v>
      </c>
      <c r="H39" s="16" t="s">
        <v>64</v>
      </c>
      <c r="I39" s="16" t="s">
        <v>226</v>
      </c>
      <c r="J39" s="16" t="s">
        <v>227</v>
      </c>
      <c r="K39" s="16" t="s">
        <v>52</v>
      </c>
      <c r="L39" t="str">
        <f t="shared" si="0"/>
        <v>not working</v>
      </c>
    </row>
    <row r="40" spans="1:12">
      <c r="A40" s="16" t="s">
        <v>67</v>
      </c>
      <c r="B40" s="16" t="s">
        <v>228</v>
      </c>
      <c r="C40" s="16" t="s">
        <v>229</v>
      </c>
      <c r="D40" s="16" t="s">
        <v>10</v>
      </c>
      <c r="E40" s="16">
        <v>54500</v>
      </c>
      <c r="F40" s="16">
        <v>30</v>
      </c>
      <c r="G40" s="16">
        <v>1</v>
      </c>
      <c r="H40" s="16" t="s">
        <v>70</v>
      </c>
      <c r="I40" s="16" t="s">
        <v>230</v>
      </c>
      <c r="J40" s="16" t="s">
        <v>231</v>
      </c>
      <c r="K40" s="16" t="s">
        <v>44</v>
      </c>
      <c r="L40" t="str">
        <f t="shared" si="0"/>
        <v>working</v>
      </c>
    </row>
    <row r="41" spans="1:12">
      <c r="A41" s="16" t="s">
        <v>88</v>
      </c>
      <c r="B41" s="16" t="s">
        <v>241</v>
      </c>
      <c r="C41" s="16" t="s">
        <v>242</v>
      </c>
      <c r="D41" s="16" t="s">
        <v>63</v>
      </c>
      <c r="E41" s="16">
        <v>54900</v>
      </c>
      <c r="F41" s="16">
        <v>34</v>
      </c>
      <c r="G41" s="16">
        <v>5</v>
      </c>
      <c r="H41" s="16" t="s">
        <v>64</v>
      </c>
      <c r="I41" s="16" t="s">
        <v>243</v>
      </c>
      <c r="J41" s="16" t="s">
        <v>244</v>
      </c>
      <c r="K41" s="16" t="s">
        <v>44</v>
      </c>
      <c r="L41" t="str">
        <f t="shared" si="0"/>
        <v>working</v>
      </c>
    </row>
  </sheetData>
  <conditionalFormatting sqref="K2:K41">
    <cfRule type="containsText" dxfId="5" priority="2" operator="containsText" text="inactive">
      <formula>NOT(ISERROR(SEARCH("inactive",K2)))</formula>
    </cfRule>
  </conditionalFormatting>
  <conditionalFormatting sqref="E2:E41">
    <cfRule type="cellIs" dxfId="4" priority="1" operator="greaterThan">
      <formula>50500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F11" sqref="F11"/>
    </sheetView>
  </sheetViews>
  <sheetFormatPr defaultRowHeight="14.5"/>
  <sheetData>
    <row r="1" spans="1:5">
      <c r="A1" s="1" t="s">
        <v>0</v>
      </c>
    </row>
    <row r="2" spans="1:5">
      <c r="A2" s="1"/>
    </row>
    <row r="3" spans="1:5">
      <c r="A3" s="1" t="s">
        <v>1</v>
      </c>
    </row>
    <row r="4" spans="1:5">
      <c r="A4" s="1" t="s">
        <v>2</v>
      </c>
    </row>
    <row r="5" spans="1:5">
      <c r="A5" s="1" t="s">
        <v>3</v>
      </c>
    </row>
    <row r="6" spans="1:5">
      <c r="A6" s="1" t="s">
        <v>4</v>
      </c>
    </row>
    <row r="9" spans="1:5">
      <c r="A9" s="2">
        <v>1</v>
      </c>
      <c r="B9" s="2">
        <v>5</v>
      </c>
      <c r="C9" s="3" t="str">
        <f>_xlfn.IFS(SUM(A9:B9)&lt;=4,"20",AND(SUM(A9:B9)&gt;4,SUM(A9:B9)&lt;=9),"35",AND(SUM(A9:B9)&gt;9,SUM(A9:B9)&lt;=14),"50",SUM(A9:B9)&gt;14,"75")</f>
        <v>35</v>
      </c>
      <c r="D9" s="4"/>
    </row>
    <row r="12" spans="1:5">
      <c r="E12" t="str">
        <f>_xlfn.IFS(SUM(A9:B9)&lt;=4,"20",AND(SUM(A9:B9)&gt;4,SUM(A9:B9)&lt;=9),"35",AND(SUM(A9:B9)&gt;9,SUM(A9:B9)&lt;=14),"50",SUM(A9:B9)&gt;14,"75")</f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I18" sqref="I18"/>
    </sheetView>
  </sheetViews>
  <sheetFormatPr defaultRowHeight="14.5"/>
  <sheetData>
    <row r="1" spans="1:5">
      <c r="A1" s="5" t="s">
        <v>5</v>
      </c>
    </row>
    <row r="2" spans="1:5">
      <c r="A2" t="s">
        <v>6</v>
      </c>
      <c r="D2" s="6"/>
    </row>
    <row r="3" spans="1:5">
      <c r="A3" t="s">
        <v>7</v>
      </c>
      <c r="D3" s="7"/>
    </row>
    <row r="4" spans="1:5">
      <c r="A4" t="s">
        <v>8</v>
      </c>
      <c r="D4" s="8"/>
    </row>
    <row r="6" spans="1:5">
      <c r="A6" s="9" t="s">
        <v>9</v>
      </c>
      <c r="B6" s="9" t="s">
        <v>10</v>
      </c>
      <c r="C6" s="10"/>
      <c r="D6" s="10"/>
      <c r="E6" s="10"/>
    </row>
    <row r="7" spans="1:5">
      <c r="A7" s="11" t="s">
        <v>11</v>
      </c>
      <c r="B7" s="12">
        <v>1000</v>
      </c>
    </row>
    <row r="8" spans="1:5">
      <c r="A8" s="11" t="s">
        <v>12</v>
      </c>
      <c r="B8" s="12">
        <v>550</v>
      </c>
    </row>
    <row r="9" spans="1:5">
      <c r="A9" s="11" t="s">
        <v>13</v>
      </c>
      <c r="B9" s="12">
        <v>750</v>
      </c>
    </row>
    <row r="10" spans="1:5">
      <c r="A10" s="11" t="s">
        <v>14</v>
      </c>
      <c r="B10" s="12">
        <v>1300</v>
      </c>
    </row>
    <row r="11" spans="1:5">
      <c r="A11" s="11" t="s">
        <v>15</v>
      </c>
      <c r="B11" s="12">
        <v>600</v>
      </c>
    </row>
    <row r="12" spans="1:5">
      <c r="A12" s="11" t="s">
        <v>16</v>
      </c>
      <c r="B12" s="12">
        <v>300</v>
      </c>
    </row>
    <row r="13" spans="1:5">
      <c r="A13" s="11" t="s">
        <v>17</v>
      </c>
      <c r="B13" s="12">
        <v>1200</v>
      </c>
    </row>
    <row r="14" spans="1:5">
      <c r="A14" s="11" t="s">
        <v>18</v>
      </c>
      <c r="B14" s="12">
        <v>200</v>
      </c>
    </row>
    <row r="15" spans="1:5">
      <c r="A15" s="11" t="s">
        <v>19</v>
      </c>
      <c r="B15" s="12">
        <v>100</v>
      </c>
    </row>
    <row r="16" spans="1:5">
      <c r="A16" s="11" t="s">
        <v>20</v>
      </c>
      <c r="B16" s="12">
        <v>50</v>
      </c>
    </row>
    <row r="17" spans="1:2">
      <c r="A17" s="11" t="s">
        <v>21</v>
      </c>
      <c r="B17" s="12">
        <v>400</v>
      </c>
    </row>
    <row r="18" spans="1:2">
      <c r="A18" s="11" t="s">
        <v>22</v>
      </c>
      <c r="B18" s="12">
        <v>1500</v>
      </c>
    </row>
    <row r="19" spans="1:2">
      <c r="A19" s="11" t="s">
        <v>23</v>
      </c>
      <c r="B19" s="12">
        <v>800</v>
      </c>
    </row>
    <row r="20" spans="1:2">
      <c r="A20" s="11" t="s">
        <v>24</v>
      </c>
      <c r="B20" s="12">
        <v>650</v>
      </c>
    </row>
    <row r="21" spans="1:2">
      <c r="A21" s="11" t="s">
        <v>25</v>
      </c>
      <c r="B21" s="12">
        <v>1100</v>
      </c>
    </row>
  </sheetData>
  <conditionalFormatting sqref="A6:A21">
    <cfRule type="cellIs" dxfId="3" priority="4" operator="lessThan">
      <formula>500</formula>
    </cfRule>
  </conditionalFormatting>
  <conditionalFormatting sqref="B7:B21">
    <cfRule type="cellIs" dxfId="2" priority="1" operator="lessThan">
      <formula>500</formula>
    </cfRule>
    <cfRule type="cellIs" dxfId="1" priority="2" operator="between">
      <formula>500</formula>
      <formula>1000</formula>
    </cfRule>
    <cfRule type="cellIs" dxfId="0" priority="3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data</vt:lpstr>
      <vt:lpstr>Qns</vt:lpstr>
      <vt:lpstr>main data ans</vt:lpstr>
      <vt:lpstr>main data ans2</vt:lpstr>
      <vt:lpstr>2Qn</vt:lpstr>
      <vt:lpstr>3Qn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aimanunnisa283@gmail.com</cp:lastModifiedBy>
  <dcterms:created xsi:type="dcterms:W3CDTF">2026-09-21T08:46:40Z</dcterms:created>
  <dcterms:modified xsi:type="dcterms:W3CDTF">2026-10-04T07:23:56Z</dcterms:modified>
</cp:coreProperties>
</file>