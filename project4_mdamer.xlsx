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fe901dc81da1df/Documents/assignments_mdamer/"/>
    </mc:Choice>
  </mc:AlternateContent>
  <xr:revisionPtr revIDLastSave="9" documentId="8_{1DBF0FBE-A42F-4E3E-8558-906C5A9E76A4}" xr6:coauthVersionLast="47" xr6:coauthVersionMax="47" xr10:uidLastSave="{2E22018A-AF60-4E41-BF3C-72F4B1676B24}"/>
  <bookViews>
    <workbookView xWindow="-110" yWindow="-110" windowWidth="19420" windowHeight="10300" firstSheet="14" activeTab="22" xr2:uid="{00000000-000D-0000-FFFF-FFFF00000000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  <sheet name="Q17" sheetId="18" r:id="rId18"/>
    <sheet name="Q18" sheetId="19" r:id="rId19"/>
    <sheet name="Q19" sheetId="20" r:id="rId20"/>
    <sheet name="Q20" sheetId="21" r:id="rId21"/>
    <sheet name="Q21" sheetId="22" r:id="rId22"/>
    <sheet name="q21.pivot table" sheetId="27" r:id="rId23"/>
    <sheet name="Q22" sheetId="23" r:id="rId24"/>
    <sheet name="Q23" sheetId="24" r:id="rId25"/>
    <sheet name="Q24" sheetId="25" r:id="rId26"/>
    <sheet name="Q25" sheetId="26" r:id="rId27"/>
  </sheets>
  <definedNames>
    <definedName name="_xlnm._FilterDatabase" localSheetId="10" hidden="1">'Q10'!$B$2:$M$42</definedName>
    <definedName name="_xlnm._FilterDatabase" localSheetId="11" hidden="1">'Q11'!$A$3:$L$43</definedName>
    <definedName name="_xlnm._FilterDatabase" localSheetId="21" hidden="1">'Q21'!$A$2:$E$24</definedName>
    <definedName name="_xlnm._FilterDatabase" localSheetId="22" hidden="1">'q21.pivot table'!$A$1:$E$23</definedName>
    <definedName name="ANAND">Data!$C$4:$D$44</definedName>
    <definedName name="ga">Data!$B$4:$M$44</definedName>
    <definedName name="SURESH">Data!$C$4:$G$44</definedName>
  </definedNames>
  <calcPr calcId="191029"/>
  <pivotCaches>
    <pivotCache cacheId="134" r:id="rId28"/>
    <pivotCache cacheId="135" r:id="rId29"/>
    <pivotCache cacheId="136" r:id="rId30"/>
  </pivotCaches>
  <extLst>
    <ext uri="GoogleSheetsCustomDataVersion2">
      <go:sheetsCustomData xmlns:go="http://customooxmlschemas.google.com/" r:id="rId31" roundtripDataChecksum="AcMegZj7Cgt94PSwxFzDYRumoghQ/pVYfnZw+vRLH0k="/>
    </ext>
  </extLst>
</workbook>
</file>

<file path=xl/calcChain.xml><?xml version="1.0" encoding="utf-8"?>
<calcChain xmlns="http://schemas.openxmlformats.org/spreadsheetml/2006/main">
  <c r="E4" i="21" l="1"/>
  <c r="I4" i="21"/>
  <c r="E12" i="3"/>
  <c r="G6" i="20"/>
  <c r="G7" i="20"/>
  <c r="G8" i="20"/>
  <c r="G9" i="20"/>
  <c r="G10" i="20"/>
  <c r="G11" i="20"/>
  <c r="G12" i="20"/>
  <c r="G13" i="20"/>
  <c r="G5" i="20"/>
  <c r="F7" i="20"/>
  <c r="F8" i="20"/>
  <c r="F9" i="20"/>
  <c r="F10" i="20"/>
  <c r="F11" i="20"/>
  <c r="F12" i="20"/>
  <c r="F13" i="20"/>
  <c r="F6" i="20"/>
  <c r="F5" i="20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" i="19"/>
  <c r="F4" i="15"/>
  <c r="F3" i="15"/>
  <c r="D5" i="26"/>
  <c r="D6" i="26"/>
  <c r="D4" i="26"/>
  <c r="C5" i="26"/>
  <c r="C6" i="26"/>
  <c r="C4" i="26"/>
  <c r="E2" i="27"/>
  <c r="E14" i="27"/>
  <c r="E8" i="27"/>
  <c r="E16" i="27"/>
  <c r="E12" i="27"/>
  <c r="E5" i="27"/>
  <c r="E18" i="27"/>
  <c r="E6" i="27"/>
  <c r="E3" i="27"/>
  <c r="E15" i="27"/>
  <c r="E7" i="27"/>
  <c r="E23" i="27"/>
  <c r="E20" i="27"/>
  <c r="E10" i="27"/>
  <c r="E19" i="27"/>
  <c r="E17" i="27"/>
  <c r="E21" i="27"/>
  <c r="E13" i="27"/>
  <c r="E9" i="27"/>
  <c r="E22" i="27"/>
  <c r="E4" i="27"/>
  <c r="E11" i="27"/>
  <c r="I4" i="22"/>
  <c r="I3" i="22"/>
  <c r="I6" i="8"/>
  <c r="I7" i="8"/>
  <c r="I8" i="8"/>
  <c r="I9" i="8"/>
  <c r="I10" i="8"/>
  <c r="I5" i="8"/>
  <c r="H6" i="8"/>
  <c r="H7" i="8"/>
  <c r="H8" i="8"/>
  <c r="H9" i="8"/>
  <c r="H10" i="8"/>
  <c r="H5" i="8"/>
  <c r="F6" i="7"/>
  <c r="F5" i="7"/>
  <c r="F4" i="7"/>
  <c r="E9" i="6"/>
  <c r="E10" i="6"/>
  <c r="E11" i="6"/>
  <c r="E12" i="6"/>
  <c r="E13" i="6"/>
  <c r="E14" i="6"/>
  <c r="E15" i="6"/>
  <c r="E16" i="6"/>
  <c r="E8" i="6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E11" i="3"/>
  <c r="E13" i="3"/>
  <c r="E14" i="3"/>
  <c r="E15" i="3"/>
  <c r="E16" i="3"/>
  <c r="E17" i="3"/>
  <c r="E18" i="3"/>
  <c r="E19" i="3"/>
  <c r="E10" i="3"/>
  <c r="N9" i="2"/>
  <c r="N10" i="2"/>
  <c r="N11" i="2"/>
  <c r="N12" i="2"/>
  <c r="N13" i="2"/>
  <c r="N14" i="2"/>
  <c r="N15" i="2"/>
  <c r="N16" i="2"/>
  <c r="N17" i="2"/>
  <c r="N18" i="2"/>
  <c r="N19" i="2"/>
  <c r="N8" i="2"/>
  <c r="M9" i="2"/>
  <c r="M10" i="2"/>
  <c r="M11" i="2"/>
  <c r="M12" i="2"/>
  <c r="M13" i="2"/>
  <c r="M14" i="2"/>
  <c r="M15" i="2"/>
  <c r="M16" i="2"/>
  <c r="M17" i="2"/>
  <c r="M18" i="2"/>
  <c r="M19" i="2"/>
  <c r="M8" i="2"/>
  <c r="L9" i="2"/>
  <c r="L10" i="2"/>
  <c r="L11" i="2"/>
  <c r="L12" i="2"/>
  <c r="L13" i="2"/>
  <c r="L14" i="2"/>
  <c r="L15" i="2"/>
  <c r="L16" i="2"/>
  <c r="L17" i="2"/>
  <c r="L18" i="2"/>
  <c r="L19" i="2"/>
  <c r="L8" i="2"/>
  <c r="K9" i="2"/>
  <c r="K10" i="2"/>
  <c r="K11" i="2"/>
  <c r="K12" i="2"/>
  <c r="K13" i="2"/>
  <c r="K14" i="2"/>
  <c r="K15" i="2"/>
  <c r="K16" i="2"/>
  <c r="K17" i="2"/>
  <c r="K18" i="2"/>
  <c r="K19" i="2"/>
  <c r="K8" i="2"/>
  <c r="J9" i="2"/>
  <c r="J10" i="2"/>
  <c r="J11" i="2"/>
  <c r="J12" i="2"/>
  <c r="J13" i="2"/>
  <c r="J14" i="2"/>
  <c r="J15" i="2"/>
  <c r="J16" i="2"/>
  <c r="J17" i="2"/>
  <c r="J18" i="2"/>
  <c r="J19" i="2"/>
  <c r="J8" i="2"/>
  <c r="I9" i="2"/>
  <c r="I10" i="2"/>
  <c r="I11" i="2"/>
  <c r="I12" i="2"/>
  <c r="I13" i="2"/>
  <c r="I14" i="2"/>
  <c r="I15" i="2"/>
  <c r="I16" i="2"/>
  <c r="I17" i="2"/>
  <c r="I18" i="2"/>
  <c r="I19" i="2"/>
  <c r="I8" i="2"/>
  <c r="E15" i="22"/>
  <c r="E3" i="22"/>
  <c r="E9" i="22"/>
  <c r="E17" i="22"/>
  <c r="E13" i="22"/>
  <c r="E6" i="22"/>
  <c r="E19" i="22"/>
  <c r="E7" i="22"/>
  <c r="E4" i="22"/>
  <c r="E16" i="22"/>
  <c r="E8" i="22"/>
  <c r="E24" i="22"/>
  <c r="E21" i="22"/>
  <c r="E11" i="22"/>
  <c r="E20" i="22"/>
  <c r="E18" i="22"/>
  <c r="E22" i="22"/>
  <c r="E14" i="22"/>
  <c r="E10" i="22"/>
  <c r="E23" i="22"/>
  <c r="E5" i="22"/>
  <c r="E12" i="22"/>
  <c r="I5" i="22" l="1"/>
  <c r="G23" i="4"/>
</calcChain>
</file>

<file path=xl/sharedStrings.xml><?xml version="1.0" encoding="utf-8"?>
<sst xmlns="http://schemas.openxmlformats.org/spreadsheetml/2006/main" count="2237" uniqueCount="439">
  <si>
    <t>Previous Empolyee Details</t>
  </si>
  <si>
    <t>Q2. Use excel functions with the below conditions and derive the Person Status</t>
  </si>
  <si>
    <t>S.no</t>
  </si>
  <si>
    <t>Q1. Given below are the Marks obtained by students</t>
  </si>
  <si>
    <t>Q3. Based on the raw data below calculate Total Amount &amp; Total Count per each Area (Category).</t>
  </si>
  <si>
    <t>Empolyee name</t>
  </si>
  <si>
    <t>Emp .ID</t>
  </si>
  <si>
    <t>Gender</t>
  </si>
  <si>
    <t>DOB</t>
  </si>
  <si>
    <t>Work Location</t>
  </si>
  <si>
    <t>Date Of Joing</t>
  </si>
  <si>
    <t>Date Of Resignation</t>
  </si>
  <si>
    <t>Salary</t>
  </si>
  <si>
    <t>Total Experience</t>
  </si>
  <si>
    <t>Emergency Contact Details</t>
  </si>
  <si>
    <t>Address</t>
  </si>
  <si>
    <t>suresh</t>
  </si>
  <si>
    <t>Male</t>
  </si>
  <si>
    <t>Kol</t>
  </si>
  <si>
    <t>Using excel functions populate the Total, Percentage, Highest, Lowest, Average and Result (pass/fail) based on condition shown below: (6 marks)</t>
  </si>
  <si>
    <t>Condition</t>
  </si>
  <si>
    <t>Raw Data</t>
  </si>
  <si>
    <t>&gt;=60</t>
  </si>
  <si>
    <t>amerpet</t>
  </si>
  <si>
    <t>Old</t>
  </si>
  <si>
    <t>naresh</t>
  </si>
  <si>
    <t>&gt;=30 &amp; &lt;=59</t>
  </si>
  <si>
    <t>Female</t>
  </si>
  <si>
    <t>Middle</t>
  </si>
  <si>
    <t>Hyd</t>
  </si>
  <si>
    <t>&gt;=18 &amp; &lt;=29</t>
  </si>
  <si>
    <t>Young</t>
  </si>
  <si>
    <t>suncity</t>
  </si>
  <si>
    <t>&lt;18</t>
  </si>
  <si>
    <t>Child</t>
  </si>
  <si>
    <t>mahesh</t>
  </si>
  <si>
    <t>&gt;=35 %</t>
  </si>
  <si>
    <t>Blr</t>
  </si>
  <si>
    <t>SL.No</t>
  </si>
  <si>
    <t>naveen</t>
  </si>
  <si>
    <t>Pass</t>
  </si>
  <si>
    <t>&lt;35 %</t>
  </si>
  <si>
    <t>Age</t>
  </si>
  <si>
    <t>Fail</t>
  </si>
  <si>
    <t>linga reddy</t>
  </si>
  <si>
    <t>Name</t>
  </si>
  <si>
    <t>Chn</t>
  </si>
  <si>
    <t>Person Status</t>
  </si>
  <si>
    <t>Area</t>
  </si>
  <si>
    <t>Sl.No</t>
  </si>
  <si>
    <t>sam reddy</t>
  </si>
  <si>
    <t>Total  Amount</t>
  </si>
  <si>
    <t>Student Name</t>
  </si>
  <si>
    <t>Sub - 1</t>
  </si>
  <si>
    <t>RASIKLAL JETHALAL CHHAPAN</t>
  </si>
  <si>
    <t>panjagutta</t>
  </si>
  <si>
    <t>Total Count</t>
  </si>
  <si>
    <t>Sub - 2</t>
  </si>
  <si>
    <t>Sub - 3</t>
  </si>
  <si>
    <t>pavan</t>
  </si>
  <si>
    <t>Sub - 4</t>
  </si>
  <si>
    <t>Sub - 5</t>
  </si>
  <si>
    <t>Sub - 6</t>
  </si>
  <si>
    <t>Total</t>
  </si>
  <si>
    <t>%tage</t>
  </si>
  <si>
    <t>Highest</t>
  </si>
  <si>
    <t>Lowest</t>
  </si>
  <si>
    <t>Average</t>
  </si>
  <si>
    <t>Result</t>
  </si>
  <si>
    <t>Sub Area</t>
  </si>
  <si>
    <t>grossamt</t>
  </si>
  <si>
    <t>A GOTHAVARI AMMAL</t>
  </si>
  <si>
    <t xml:space="preserve">No Area Given </t>
  </si>
  <si>
    <t>SAROJ RASIKLAL CHHAPAN</t>
  </si>
  <si>
    <t>MAULIK VINODCHANDRA JADAWALA</t>
  </si>
  <si>
    <t>JIGAR BHUPESH CHHAPAN</t>
  </si>
  <si>
    <t>HIMANSHU JOSHI</t>
  </si>
  <si>
    <t>GEETA VASHISHTHA DESAI</t>
  </si>
  <si>
    <t>Hardware</t>
  </si>
  <si>
    <t>HITENDRA RAJNIKANT DAVE</t>
  </si>
  <si>
    <t>Damaged-Malfunctioned</t>
  </si>
  <si>
    <t>ARUNA V GARG</t>
  </si>
  <si>
    <t>DHAVAL NATVARLAL SHAH</t>
  </si>
  <si>
    <t>A K GUPTA</t>
  </si>
  <si>
    <t>NATVARLAL HIRALAL SHAH</t>
  </si>
  <si>
    <t>AirWatch</t>
  </si>
  <si>
    <t>A K MITTAL HUF</t>
  </si>
  <si>
    <t>Complete System</t>
  </si>
  <si>
    <t>A RAJESH KUMAR</t>
  </si>
  <si>
    <t>Client Specific</t>
  </si>
  <si>
    <t>Usage</t>
  </si>
  <si>
    <t>Connectivity</t>
  </si>
  <si>
    <t>Off the Shelf</t>
  </si>
  <si>
    <t>Windows 7</t>
  </si>
  <si>
    <t>A RAMAA</t>
  </si>
  <si>
    <t>Email</t>
  </si>
  <si>
    <t xml:space="preserve"> No Sub Area Given </t>
  </si>
  <si>
    <t>A S GANESAN</t>
  </si>
  <si>
    <t>Field Planning</t>
  </si>
  <si>
    <t>iPad - Hardware</t>
  </si>
  <si>
    <t>Lost/Stolen</t>
  </si>
  <si>
    <t>begumpet</t>
  </si>
  <si>
    <t>A SUBRAMONEY</t>
  </si>
  <si>
    <t>Veeva</t>
  </si>
  <si>
    <t>kishan</t>
  </si>
  <si>
    <t>Calls</t>
  </si>
  <si>
    <t>Hardware - iPad</t>
  </si>
  <si>
    <t>Request</t>
  </si>
  <si>
    <t>A VAMANAN</t>
  </si>
  <si>
    <t>iPad</t>
  </si>
  <si>
    <t>harish</t>
  </si>
  <si>
    <t>iPad - Connectivity</t>
  </si>
  <si>
    <t>hitechcity</t>
  </si>
  <si>
    <t xml:space="preserve">AAKASH </t>
  </si>
  <si>
    <t>chandrashekr</t>
  </si>
  <si>
    <t>Accounts</t>
  </si>
  <si>
    <t>iPad - Software</t>
  </si>
  <si>
    <t>AAKEEN ASHIR DOSHI</t>
  </si>
  <si>
    <t>chintu</t>
  </si>
  <si>
    <t>Damaged/Malfunctioned</t>
  </si>
  <si>
    <t>iPhone</t>
  </si>
  <si>
    <t>AALIYA SALMAN NENSEY</t>
  </si>
  <si>
    <t>iRep</t>
  </si>
  <si>
    <t>banti</t>
  </si>
  <si>
    <t>Events</t>
  </si>
  <si>
    <t>Microsoft Dynamics</t>
  </si>
  <si>
    <t>Installation</t>
  </si>
  <si>
    <t>nitin</t>
  </si>
  <si>
    <t>Send-Receive</t>
  </si>
  <si>
    <t>AARATI BHUSHAN LIMAYE</t>
  </si>
  <si>
    <t>sampath</t>
  </si>
  <si>
    <t>Vmobile</t>
  </si>
  <si>
    <t>sanjeev</t>
  </si>
  <si>
    <t>Application</t>
  </si>
  <si>
    <t>santosh</t>
  </si>
  <si>
    <t>anil</t>
  </si>
  <si>
    <t>Wireless</t>
  </si>
  <si>
    <t>raju</t>
  </si>
  <si>
    <t>Applications</t>
  </si>
  <si>
    <t>mahendar</t>
  </si>
  <si>
    <t>venkatesh</t>
  </si>
  <si>
    <t>Samples</t>
  </si>
  <si>
    <t>Reports</t>
  </si>
  <si>
    <t>Nikhil</t>
  </si>
  <si>
    <t>Configuration</t>
  </si>
  <si>
    <t>sowkya</t>
  </si>
  <si>
    <t>Rani</t>
  </si>
  <si>
    <t>VPN</t>
  </si>
  <si>
    <t>Tharun</t>
  </si>
  <si>
    <t>Laxmi.Panimanishi</t>
  </si>
  <si>
    <t>ushakka</t>
  </si>
  <si>
    <t>snadya</t>
  </si>
  <si>
    <t>General Usage</t>
  </si>
  <si>
    <t>rahu</t>
  </si>
  <si>
    <t>sayyad</t>
  </si>
  <si>
    <t>Flash</t>
  </si>
  <si>
    <t>tabassum</t>
  </si>
  <si>
    <t>sunny</t>
  </si>
  <si>
    <t>vinny</t>
  </si>
  <si>
    <t>chinni</t>
  </si>
  <si>
    <t>Errors</t>
  </si>
  <si>
    <t>BlackBerry</t>
  </si>
  <si>
    <t>vijay</t>
  </si>
  <si>
    <t>Printer</t>
  </si>
  <si>
    <t>shashi</t>
  </si>
  <si>
    <t>Login</t>
  </si>
  <si>
    <t>prashi</t>
  </si>
  <si>
    <t>kranthi</t>
  </si>
  <si>
    <t>pullaiah</t>
  </si>
  <si>
    <t xml:space="preserve"> Mobile Iron</t>
  </si>
  <si>
    <t>Naresh</t>
  </si>
  <si>
    <t>vikas</t>
  </si>
  <si>
    <t>Concur</t>
  </si>
  <si>
    <t>Intranet</t>
  </si>
  <si>
    <t>Operating System</t>
  </si>
  <si>
    <t xml:space="preserve"> WebEx</t>
  </si>
  <si>
    <t>Q4. Split the Name given in the column as shown in example below using excel functions only</t>
  </si>
  <si>
    <t>iCertify</t>
  </si>
  <si>
    <t>Example</t>
  </si>
  <si>
    <t>Synchronization-Replication</t>
  </si>
  <si>
    <t>First Name</t>
  </si>
  <si>
    <t>Last Name</t>
  </si>
  <si>
    <t>ALEX ROBERTS</t>
  </si>
  <si>
    <t>ALEX</t>
  </si>
  <si>
    <t>ROBERTS</t>
  </si>
  <si>
    <t>Split</t>
  </si>
  <si>
    <t>S.No</t>
  </si>
  <si>
    <t>Lost-Stolen</t>
  </si>
  <si>
    <t>Microsoft Word</t>
  </si>
  <si>
    <t>Equity Edge</t>
  </si>
  <si>
    <t>RASIKLAL JETHALAL</t>
  </si>
  <si>
    <t>SAROJ RASIKLAL</t>
  </si>
  <si>
    <t>Cisco</t>
  </si>
  <si>
    <t>MAULIK VINODCHANDRA</t>
  </si>
  <si>
    <t>JIGAR BHUPESH</t>
  </si>
  <si>
    <t>Other</t>
  </si>
  <si>
    <t>GEETA VASHISHTHA</t>
  </si>
  <si>
    <t>Intranet-SharePoint</t>
  </si>
  <si>
    <t>HITENDRA RAJNIKANT</t>
  </si>
  <si>
    <t>Cisco WebEx</t>
  </si>
  <si>
    <t>ARUNA GARG</t>
  </si>
  <si>
    <t>DHAVAL NATVARLAL</t>
  </si>
  <si>
    <t>Cisco WebEx Connect IM</t>
  </si>
  <si>
    <t>NATVARLAL HIRALAL</t>
  </si>
  <si>
    <t>Misc Software</t>
  </si>
  <si>
    <t>Targeting</t>
  </si>
  <si>
    <t>ICP</t>
  </si>
  <si>
    <t>Unsupported</t>
  </si>
  <si>
    <t>Budgets</t>
  </si>
  <si>
    <t>The Source</t>
  </si>
  <si>
    <t>Combined Inquiries</t>
  </si>
  <si>
    <t>Analytics</t>
  </si>
  <si>
    <t>Views</t>
  </si>
  <si>
    <t>FedEx Inquiry</t>
  </si>
  <si>
    <t>Search Doctor</t>
  </si>
  <si>
    <t>FBRs</t>
  </si>
  <si>
    <t>Data Investigation</t>
  </si>
  <si>
    <t>Coaching Reports</t>
  </si>
  <si>
    <t>Internet Browser</t>
  </si>
  <si>
    <t xml:space="preserve">Q5. Concatenate Category, Area, Sub Area with and separate with '/' (slash) </t>
  </si>
  <si>
    <t>Q6. Using excel functions calcuate Number Count (Cells which contains only numeric value), Blank Count (Count of Blank Cells only), Non-Blank Count (No. of cells without blanks)</t>
  </si>
  <si>
    <t>AHM</t>
  </si>
  <si>
    <t>Category</t>
  </si>
  <si>
    <t>TERRITORY</t>
  </si>
  <si>
    <t>NUMBER COUNT</t>
  </si>
  <si>
    <t>CONCATENATE WITH SLASH ( / )</t>
  </si>
  <si>
    <t>V202004</t>
  </si>
  <si>
    <t>BLANK COUNT</t>
  </si>
  <si>
    <t>Hardware/Damaged-Malfunctioned/Printer</t>
  </si>
  <si>
    <t>NON-BLANK COUNT</t>
  </si>
  <si>
    <t>V203004</t>
  </si>
  <si>
    <t>V203009</t>
  </si>
  <si>
    <t>10307 Wilmington, NC</t>
  </si>
  <si>
    <t>Excel</t>
  </si>
  <si>
    <t>40306 South Texas</t>
  </si>
  <si>
    <t>40300 West</t>
  </si>
  <si>
    <t>10401 Allentown, PA</t>
  </si>
  <si>
    <t>20604 Naples, FL</t>
  </si>
  <si>
    <t>40206 Lower South Central</t>
  </si>
  <si>
    <t>30206 Lubbock, TX</t>
  </si>
  <si>
    <t>30507 San Antonio W, TX</t>
  </si>
  <si>
    <t>10501 Brooklyn, NY</t>
  </si>
  <si>
    <t>30304 San Francisco, CA</t>
  </si>
  <si>
    <t>10409 Trenton, NJ</t>
  </si>
  <si>
    <t>40202 Southeast Florida</t>
  </si>
  <si>
    <t>10209 N Washington, DC - Acade</t>
  </si>
  <si>
    <t>20409 Paducah, KY</t>
  </si>
  <si>
    <t>Return to Inventory</t>
  </si>
  <si>
    <t>40106 Northeast</t>
  </si>
  <si>
    <t>Logon</t>
  </si>
  <si>
    <t xml:space="preserve"> No Area Given </t>
  </si>
  <si>
    <t xml:space="preserve"> No SubSubArea Given </t>
  </si>
  <si>
    <t>Miscellaneous Items</t>
  </si>
  <si>
    <t>Missing</t>
  </si>
  <si>
    <t>Q7. Using VLookUp function populate the Name and Broker Name against the IH No. provided in Table 2.</t>
  </si>
  <si>
    <t>Expenses</t>
  </si>
  <si>
    <t>Table 1</t>
  </si>
  <si>
    <t>Table 2</t>
  </si>
  <si>
    <t>IH.No</t>
  </si>
  <si>
    <t>Amount</t>
  </si>
  <si>
    <t>Broker Code</t>
  </si>
  <si>
    <t>Broker Name</t>
  </si>
  <si>
    <t>KEKI BURJORJI PATEL</t>
  </si>
  <si>
    <t>ARN-88989</t>
  </si>
  <si>
    <t>IMPERIAL CAPITAL ADVISORS PRIVATE LIMITED</t>
  </si>
  <si>
    <t>HOOFRISH KEKI PATEL</t>
  </si>
  <si>
    <t>PERIN KEKI PATEL</t>
  </si>
  <si>
    <t>JAMSHID NAVAL PANDOLE</t>
  </si>
  <si>
    <t>000000-0</t>
  </si>
  <si>
    <t>DIRECT</t>
  </si>
  <si>
    <t>JAYANTKUMAR ASHAR</t>
  </si>
  <si>
    <t>BURJOR HOMI DANDIWALA PMS</t>
  </si>
  <si>
    <t>MR.RAVIKUMAR KRISHNAMURTHI</t>
  </si>
  <si>
    <t>MS.RAJANI KRISHNAMURTHY IYER</t>
  </si>
  <si>
    <t>DINESH VASANTRAI BHUTA</t>
  </si>
  <si>
    <t>MAQSOODA NOORUDIN TAWA</t>
  </si>
  <si>
    <t>ARN-12433</t>
  </si>
  <si>
    <t>PRITHVI SECURITIES</t>
  </si>
  <si>
    <t>CHETAN VINAY NIMKAR</t>
  </si>
  <si>
    <t>ARN-4484</t>
  </si>
  <si>
    <t>BLUE CHIP INVESTMENTS</t>
  </si>
  <si>
    <t>LAXMI J MUNDKUR</t>
  </si>
  <si>
    <t>ARN-4633</t>
  </si>
  <si>
    <t>RAMESH BISWAS M</t>
  </si>
  <si>
    <t>RAJNIKANT DESAI</t>
  </si>
  <si>
    <t>ARN-87848</t>
  </si>
  <si>
    <t>K P ASHOK KUMAR</t>
  </si>
  <si>
    <t>ARN-18747</t>
  </si>
  <si>
    <t>PALANI DHAMODAR</t>
  </si>
  <si>
    <t>D S INTEGRATED FINSEC PVT LTD</t>
  </si>
  <si>
    <t>ARN-4659</t>
  </si>
  <si>
    <t>SANJAY SHASHIKANTBHAI MEHTA</t>
  </si>
  <si>
    <t>GSD TRADING &amp; FINANCIAL SERVICES PVT LTD</t>
  </si>
  <si>
    <t>IDBI BANK LTD</t>
  </si>
  <si>
    <t>LCGC BIOANALYTIC SOLUTIONS LLP</t>
  </si>
  <si>
    <t>ARN-0002</t>
  </si>
  <si>
    <t>JM Financial Services Limited</t>
  </si>
  <si>
    <t>PRAVEEN CHANDRA RAMAMURTHY</t>
  </si>
  <si>
    <t>ARN-77798</t>
  </si>
  <si>
    <t>KESARI G SHARMA</t>
  </si>
  <si>
    <t>RIDDHI SIDDHI GLUCO BIOLS LIMITED</t>
  </si>
  <si>
    <t>Q8. Using Data Validation create a Drop-Down List in Cell D3</t>
  </si>
  <si>
    <t>List</t>
  </si>
  <si>
    <t>Q9. Create a Pivot table for Open &amp; Closed Area Count by Level Wise</t>
  </si>
  <si>
    <t>Status</t>
  </si>
  <si>
    <t>ResolvedBy</t>
  </si>
  <si>
    <t>Resolution Level</t>
  </si>
  <si>
    <t>Open</t>
  </si>
  <si>
    <t>C3i Helpdesk</t>
  </si>
  <si>
    <t>Level 3</t>
  </si>
  <si>
    <t>Level 2</t>
  </si>
  <si>
    <t>Level 1</t>
  </si>
  <si>
    <t>Closed</t>
  </si>
  <si>
    <t>Filter the specific by hyd city</t>
  </si>
  <si>
    <t>Arrange the data Largest to Smallest order by salary</t>
  </si>
  <si>
    <t>Highlight the cells greather than 25000 salary by green colour</t>
  </si>
  <si>
    <t>Use Data Sheet</t>
  </si>
  <si>
    <t xml:space="preserve">Calculate the total salary by bng city and males </t>
  </si>
  <si>
    <t>Calculate the female empolyees total salary</t>
  </si>
  <si>
    <t>Calculate the Employee age using formula</t>
  </si>
  <si>
    <t>Example:-22 Years 3 Months 3 Days</t>
  </si>
  <si>
    <t xml:space="preserve"> Using Match Index function populate the Category and Area against the Sub Area. provided in Table 2.</t>
  </si>
  <si>
    <t xml:space="preserve">Using Count if Clear the below Excerise </t>
  </si>
  <si>
    <t>Data</t>
  </si>
  <si>
    <t>Positive Numbers Count</t>
  </si>
  <si>
    <t>Negitive Numbers Count</t>
  </si>
  <si>
    <t>Parent OrgID</t>
  </si>
  <si>
    <t>Org</t>
  </si>
  <si>
    <t>Accounts Payable</t>
  </si>
  <si>
    <t>Accounts Receivable</t>
  </si>
  <si>
    <t>Net Payble</t>
  </si>
  <si>
    <t>Compute the below from the data on the left</t>
  </si>
  <si>
    <t>A</t>
  </si>
  <si>
    <t>Total Payable</t>
  </si>
  <si>
    <t>B</t>
  </si>
  <si>
    <t>Total Receivable</t>
  </si>
  <si>
    <t>C</t>
  </si>
  <si>
    <t>Net Payable</t>
  </si>
  <si>
    <t>D</t>
  </si>
  <si>
    <t>E</t>
  </si>
  <si>
    <t>What are the top 3 organisations with maximum net payable</t>
  </si>
  <si>
    <t>F</t>
  </si>
  <si>
    <t xml:space="preserve"> Use the data and draw a combo chart wit 2 Yaxis</t>
  </si>
  <si>
    <t>Net payable</t>
  </si>
  <si>
    <t>G</t>
  </si>
  <si>
    <t>H</t>
  </si>
  <si>
    <t>I</t>
  </si>
  <si>
    <t>J</t>
  </si>
  <si>
    <t>Quarter</t>
  </si>
  <si>
    <t>K</t>
  </si>
  <si>
    <t>Sales</t>
  </si>
  <si>
    <t>Use a pivot table to identify top 3 parent orgIDs based on net payable</t>
  </si>
  <si>
    <t>Quality</t>
  </si>
  <si>
    <t>L</t>
  </si>
  <si>
    <t>Quarter 1</t>
  </si>
  <si>
    <t>M</t>
  </si>
  <si>
    <t>Q10: Is it possible to make Pivot Table using multiple sources of data?
Write down the procedure</t>
  </si>
  <si>
    <t>Quarter 2</t>
  </si>
  <si>
    <t>Quarter 3</t>
  </si>
  <si>
    <t>N</t>
  </si>
  <si>
    <t>O</t>
  </si>
  <si>
    <t>P</t>
  </si>
  <si>
    <t>Write down the procedure</t>
  </si>
  <si>
    <t>Q</t>
  </si>
  <si>
    <t>Identify top 3 parent org IDs based on the number of organisations mapped to it</t>
  </si>
  <si>
    <t>R</t>
  </si>
  <si>
    <t># Organisations</t>
  </si>
  <si>
    <t>S</t>
  </si>
  <si>
    <t>T</t>
  </si>
  <si>
    <t>U</t>
  </si>
  <si>
    <t>V</t>
  </si>
  <si>
    <t>Q11:How can you hide the error values in data field of Pivot Table 
Write down the procedure or do it using the data</t>
  </si>
  <si>
    <t>Using given excel functions find the values for the below data</t>
  </si>
  <si>
    <t>Functions</t>
  </si>
  <si>
    <t>LookUp</t>
  </si>
  <si>
    <t xml:space="preserve">Index &amp; Match </t>
  </si>
  <si>
    <t>North-A1</t>
  </si>
  <si>
    <t>West-A3</t>
  </si>
  <si>
    <t>East-A1</t>
  </si>
  <si>
    <t>Table</t>
  </si>
  <si>
    <t>South-A1</t>
  </si>
  <si>
    <t>West-A2</t>
  </si>
  <si>
    <t>North-A2</t>
  </si>
  <si>
    <t>South-A2</t>
  </si>
  <si>
    <t>North-A3</t>
  </si>
  <si>
    <t>South-A3</t>
  </si>
  <si>
    <t>South-A4</t>
  </si>
  <si>
    <t>North-A4</t>
  </si>
  <si>
    <t>Values</t>
  </si>
  <si>
    <t>RASIKLAL</t>
  </si>
  <si>
    <t>JETHALAL</t>
  </si>
  <si>
    <t>SAROJ</t>
  </si>
  <si>
    <t>MAULIK</t>
  </si>
  <si>
    <t>VINODCHANDRA</t>
  </si>
  <si>
    <t>JIGAR</t>
  </si>
  <si>
    <t>BHUPESH</t>
  </si>
  <si>
    <t>HIMANSHU</t>
  </si>
  <si>
    <t>JOSHI</t>
  </si>
  <si>
    <t>GEETA</t>
  </si>
  <si>
    <t>VASHISHTHA</t>
  </si>
  <si>
    <t>HITENDRA</t>
  </si>
  <si>
    <t>RAJNIKANT</t>
  </si>
  <si>
    <t>ARUNA</t>
  </si>
  <si>
    <t>GARG</t>
  </si>
  <si>
    <t>DHAVAL</t>
  </si>
  <si>
    <t>NATVARLAL</t>
  </si>
  <si>
    <t>HIRALAL</t>
  </si>
  <si>
    <t>or we can use text before and textafter</t>
  </si>
  <si>
    <t>Row Labels</t>
  </si>
  <si>
    <t>Grand Total</t>
  </si>
  <si>
    <t>Count of Status</t>
  </si>
  <si>
    <t>Column Labels</t>
  </si>
  <si>
    <t>RESOLUTION LEVEL</t>
  </si>
  <si>
    <t>Sum of Net Payble</t>
  </si>
  <si>
    <t>=INDEX($B$11:$M$12,2,MATCH(B5,$B$11:$M$11,0))</t>
  </si>
  <si>
    <t xml:space="preserve">Yes is is possible to make pivot table using multiple sources of data </t>
  </si>
  <si>
    <t>The procedure is as follows :</t>
  </si>
  <si>
    <t>Count of Org</t>
  </si>
  <si>
    <t>3 : Here we find the option "multiple consolidation ranges"</t>
  </si>
  <si>
    <t xml:space="preserve">7 : Then we add the no. of page fields we want </t>
  </si>
  <si>
    <t>6 : We need to add the data ranges one after the other</t>
  </si>
  <si>
    <t xml:space="preserve">5 : Once we click on I will create page fields we need to enter the ranges  </t>
  </si>
  <si>
    <t>2:  This can be done by using the shortcut ALT + D -&gt; P</t>
  </si>
  <si>
    <t xml:space="preserve">1 : We need to open the pivot table and pivotchart wizard by </t>
  </si>
  <si>
    <t>4 : Once we click on " multiple consolidation ranges " we find two options 1st : create a single page field - excel automatically creates a single page field to identify the sourse ranges or 2 : I will create page fields - you choose how many page fields to create and assign labels yourself</t>
  </si>
  <si>
    <t xml:space="preserve">We can hide error values in a PivotTable by using pivot table options : </t>
  </si>
  <si>
    <t>PROCEDURE :</t>
  </si>
  <si>
    <t xml:space="preserve">1. click anywhere inside the pivot table in the list click on "pivot table options" </t>
  </si>
  <si>
    <t xml:space="preserve">2. In layout and format under format section tick the checkbox besides " for error values show " leave the box besides it blank  </t>
  </si>
  <si>
    <t xml:space="preserve">3. By doing this instaed of #N/A we get empty blank cells  </t>
  </si>
  <si>
    <t>bng</t>
  </si>
  <si>
    <t xml:space="preserve">Count the female and bng empolyees </t>
  </si>
  <si>
    <t>Count  Of females</t>
  </si>
  <si>
    <t>Count of bng employees</t>
  </si>
  <si>
    <t>Using count if</t>
  </si>
  <si>
    <t>Copy the male employees data</t>
  </si>
  <si>
    <t>Sum of Salary</t>
  </si>
  <si>
    <t>Highlight the duplicate names by using conditional formatting (Light Green colour)</t>
  </si>
  <si>
    <t>xzxzytreew5t578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</si>
</sst>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$&quot;#,##0_);[Red]\(&quot;$&quot;#,##0\)"/>
    <numFmt numFmtId="166" formatCode="_ [$₹-4009]\ * #,##0_ ;_ [$₹-4009]\ * \-#,##0_ ;_ [$₹-4009]\ * &quot;-&quot;??_ ;_ @_ 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rgb="FFFFFF00"/>
      <name val="Cambria"/>
      <family val="1"/>
    </font>
    <font>
      <sz val="10"/>
      <color rgb="FFFF0000"/>
      <name val="Calibri"/>
      <family val="2"/>
    </font>
    <font>
      <sz val="10"/>
      <color theme="1"/>
      <name val="Cambria"/>
      <family val="1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i/>
      <u/>
      <sz val="11"/>
      <color rgb="FFFF0000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8"/>
      <color rgb="FF000000"/>
      <name val="Lao UI"/>
    </font>
    <font>
      <sz val="8"/>
      <color rgb="FF000000"/>
      <name val="Lao UI"/>
    </font>
    <font>
      <b/>
      <sz val="8"/>
      <color theme="1"/>
      <name val="Lao UI"/>
    </font>
    <font>
      <sz val="16"/>
      <color rgb="FFFF0000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AF9F9"/>
        <bgColor rgb="FFFAF9F9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/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medium">
        <color rgb="FFD8D8D8"/>
      </left>
      <right style="thin">
        <color rgb="FFD8D8D8"/>
      </right>
      <top/>
      <bottom style="thin">
        <color rgb="FF000000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/>
      <top style="medium">
        <color rgb="FFD8D8D8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4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5" fontId="6" fillId="0" borderId="2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7" fillId="5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9" fillId="7" borderId="13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9" fontId="9" fillId="7" borderId="13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3" fontId="9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10" fillId="0" borderId="2" xfId="0" applyFont="1" applyBorder="1"/>
    <xf numFmtId="0" fontId="10" fillId="6" borderId="2" xfId="0" applyFont="1" applyFill="1" applyBorder="1"/>
    <xf numFmtId="0" fontId="6" fillId="0" borderId="0" xfId="0" applyFont="1" applyAlignment="1">
      <alignment horizontal="center"/>
    </xf>
    <xf numFmtId="0" fontId="6" fillId="6" borderId="23" xfId="0" applyFont="1" applyFill="1" applyBorder="1"/>
    <xf numFmtId="0" fontId="6" fillId="0" borderId="24" xfId="0" applyFont="1" applyBorder="1" applyAlignment="1">
      <alignment horizontal="center"/>
    </xf>
    <xf numFmtId="0" fontId="6" fillId="0" borderId="20" xfId="0" applyFont="1" applyBorder="1" applyAlignment="1">
      <alignment horizontal="left" vertical="center"/>
    </xf>
    <xf numFmtId="0" fontId="6" fillId="6" borderId="25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left" vertical="center"/>
    </xf>
    <xf numFmtId="0" fontId="7" fillId="5" borderId="31" xfId="0" applyFont="1" applyFill="1" applyBorder="1" applyAlignment="1">
      <alignment horizontal="left" vertical="center"/>
    </xf>
    <xf numFmtId="0" fontId="7" fillId="5" borderId="31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5" borderId="12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0" fontId="6" fillId="6" borderId="34" xfId="0" applyFont="1" applyFill="1" applyBorder="1"/>
    <xf numFmtId="0" fontId="6" fillId="0" borderId="18" xfId="0" applyFont="1" applyBorder="1" applyAlignment="1">
      <alignment horizontal="left" vertical="center"/>
    </xf>
    <xf numFmtId="0" fontId="6" fillId="0" borderId="35" xfId="0" applyFont="1" applyBorder="1" applyAlignment="1">
      <alignment horizontal="center" vertical="center"/>
    </xf>
    <xf numFmtId="0" fontId="7" fillId="5" borderId="36" xfId="0" applyFont="1" applyFill="1" applyBorder="1" applyAlignment="1">
      <alignment horizontal="left" vertical="center"/>
    </xf>
    <xf numFmtId="0" fontId="6" fillId="6" borderId="2" xfId="0" applyFont="1" applyFill="1" applyBorder="1"/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4" fillId="10" borderId="3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7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10" fillId="13" borderId="2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/>
    <xf numFmtId="0" fontId="10" fillId="12" borderId="2" xfId="0" applyFont="1" applyFill="1" applyBorder="1"/>
    <xf numFmtId="0" fontId="16" fillId="0" borderId="2" xfId="0" applyFont="1" applyBorder="1"/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165" fontId="16" fillId="0" borderId="2" xfId="0" applyNumberFormat="1" applyFont="1" applyBorder="1"/>
    <xf numFmtId="9" fontId="16" fillId="0" borderId="2" xfId="0" applyNumberFormat="1" applyFont="1" applyBorder="1"/>
    <xf numFmtId="0" fontId="7" fillId="5" borderId="49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1" fillId="0" borderId="0" xfId="0" applyFont="1"/>
    <xf numFmtId="0" fontId="6" fillId="0" borderId="23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51" xfId="0" applyBorder="1"/>
    <xf numFmtId="0" fontId="7" fillId="5" borderId="51" xfId="0" applyFont="1" applyFill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164" fontId="0" fillId="0" borderId="0" xfId="0" applyNumberFormat="1"/>
    <xf numFmtId="166" fontId="14" fillId="0" borderId="2" xfId="0" applyNumberFormat="1" applyFont="1" applyBorder="1" applyAlignment="1">
      <alignment horizontal="left" vertical="top" indent="6"/>
    </xf>
    <xf numFmtId="164" fontId="14" fillId="0" borderId="2" xfId="0" applyNumberFormat="1" applyFont="1" applyBorder="1" applyAlignment="1">
      <alignment horizontal="right"/>
    </xf>
    <xf numFmtId="0" fontId="0" fillId="0" borderId="0" xfId="0" applyAlignment="1">
      <alignment horizontal="left" indent="2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quotePrefix="1" applyFont="1"/>
    <xf numFmtId="20" fontId="1" fillId="0" borderId="0" xfId="0" applyNumberFormat="1" applyFont="1"/>
    <xf numFmtId="0" fontId="0" fillId="0" borderId="23" xfId="0" applyBorder="1"/>
    <xf numFmtId="20" fontId="1" fillId="0" borderId="0" xfId="0" applyNumberFormat="1" applyFont="1" applyAlignment="1">
      <alignment vertical="top"/>
    </xf>
    <xf numFmtId="0" fontId="10" fillId="12" borderId="51" xfId="0" applyFont="1" applyFill="1" applyBorder="1"/>
    <xf numFmtId="0" fontId="0" fillId="0" borderId="51" xfId="0" applyBorder="1" applyAlignment="1">
      <alignment horizontal="left"/>
    </xf>
    <xf numFmtId="164" fontId="0" fillId="0" borderId="51" xfId="0" applyNumberFormat="1" applyBorder="1"/>
    <xf numFmtId="14" fontId="6" fillId="0" borderId="26" xfId="0" applyNumberFormat="1" applyFont="1" applyBorder="1" applyAlignment="1">
      <alignment horizontal="center"/>
    </xf>
    <xf numFmtId="14" fontId="0" fillId="0" borderId="51" xfId="0" applyNumberFormat="1" applyBorder="1"/>
    <xf numFmtId="0" fontId="3" fillId="4" borderId="1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9" xfId="0" applyFont="1" applyBorder="1"/>
    <xf numFmtId="0" fontId="7" fillId="5" borderId="22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left"/>
    </xf>
    <xf numFmtId="0" fontId="5" fillId="0" borderId="27" xfId="0" applyFont="1" applyBorder="1"/>
    <xf numFmtId="0" fontId="5" fillId="0" borderId="28" xfId="0" applyFont="1" applyBorder="1"/>
    <xf numFmtId="0" fontId="3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/>
    </xf>
    <xf numFmtId="0" fontId="5" fillId="0" borderId="34" xfId="0" applyFont="1" applyBorder="1"/>
    <xf numFmtId="0" fontId="11" fillId="2" borderId="1" xfId="0" applyFont="1" applyFill="1" applyBorder="1" applyAlignment="1">
      <alignment horizontal="center" wrapText="1"/>
    </xf>
    <xf numFmtId="0" fontId="4" fillId="11" borderId="23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0" fillId="12" borderId="41" xfId="0" applyFont="1" applyFill="1" applyBorder="1" applyAlignment="1">
      <alignment horizontal="center"/>
    </xf>
    <xf numFmtId="0" fontId="15" fillId="3" borderId="42" xfId="0" applyFont="1" applyFill="1" applyBorder="1" applyAlignment="1">
      <alignment horizontal="center" vertical="center" wrapText="1"/>
    </xf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0" fillId="0" borderId="0" xfId="0"/>
    <xf numFmtId="0" fontId="5" fillId="0" borderId="46" xfId="0" applyFont="1" applyBorder="1"/>
    <xf numFmtId="0" fontId="5" fillId="0" borderId="47" xfId="0" applyFont="1" applyBorder="1"/>
    <xf numFmtId="0" fontId="5" fillId="0" borderId="24" xfId="0" applyFont="1" applyBorder="1"/>
    <xf numFmtId="0" fontId="5" fillId="0" borderId="48" xfId="0" applyFont="1" applyBorder="1"/>
    <xf numFmtId="0" fontId="15" fillId="3" borderId="40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15" fillId="3" borderId="4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and quality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'Q22'!$B$7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'Q22'!$A$8:$A$10</c:f>
              <c:strCache>
                <c:ptCount val="3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</c:strCache>
            </c:strRef>
          </c:cat>
          <c:val>
            <c:numRef>
              <c:f>'Q22'!$B$8:$B$10</c:f>
              <c:numCache>
                <c:formatCode>"$"#,##0_);[Red]\("$"#,##0\)</c:formatCode>
                <c:ptCount val="3"/>
                <c:pt idx="0">
                  <c:v>500</c:v>
                </c:pt>
                <c:pt idx="1">
                  <c:v>550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7-427D-98EF-E9BB81CCB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568440"/>
        <c:axId val="723566640"/>
      </c:barChart>
      <c:lineChart>
        <c:grouping val="standard"/>
        <c:varyColors val="0"/>
        <c:ser>
          <c:idx val="1"/>
          <c:order val="1"/>
          <c:tx>
            <c:strRef>
              <c:f>'Q22'!$C$7</c:f>
              <c:strCache>
                <c:ptCount val="1"/>
                <c:pt idx="0">
                  <c:v>Quality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'Q22'!$A$8:$A$10</c:f>
              <c:strCache>
                <c:ptCount val="3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</c:strCache>
            </c:strRef>
          </c:cat>
          <c:val>
            <c:numRef>
              <c:f>'Q22'!$C$8:$C$10</c:f>
              <c:numCache>
                <c:formatCode>0%</c:formatCode>
                <c:ptCount val="3"/>
                <c:pt idx="0">
                  <c:v>0.98</c:v>
                </c:pt>
                <c:pt idx="1">
                  <c:v>0.85</c:v>
                </c:pt>
                <c:pt idx="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7-427D-98EF-E9BB81CCB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571024"/>
        <c:axId val="1309570664"/>
      </c:lineChart>
      <c:catAx>
        <c:axId val="723568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66640"/>
        <c:crosses val="autoZero"/>
        <c:auto val="1"/>
        <c:lblAlgn val="ctr"/>
        <c:lblOffset val="100"/>
        <c:noMultiLvlLbl val="0"/>
      </c:catAx>
      <c:valAx>
        <c:axId val="7235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6341790609507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68440"/>
        <c:crosses val="autoZero"/>
        <c:crossBetween val="between"/>
      </c:valAx>
      <c:valAx>
        <c:axId val="13095706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71024"/>
        <c:crosses val="max"/>
        <c:crossBetween val="between"/>
      </c:valAx>
      <c:catAx>
        <c:axId val="1309571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9570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0</xdr:row>
      <xdr:rowOff>50800</xdr:rowOff>
    </xdr:from>
    <xdr:to>
      <xdr:col>11</xdr:col>
      <xdr:colOff>501650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69631-0AE2-324F-2007-83E16440E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428985300925" createdVersion="8" refreshedVersion="8" minRefreshableVersion="3" recordCount="19" xr:uid="{15048D82-DF73-4BCB-8D56-FD975C99DC78}">
  <cacheSource type="worksheet">
    <worksheetSource ref="B3:F22" sheet="Q9"/>
  </cacheSource>
  <cacheFields count="5">
    <cacheField name="Status" numFmtId="0">
      <sharedItems count="2">
        <s v="Open"/>
        <s v="Closed"/>
      </sharedItems>
    </cacheField>
    <cacheField name="Area" numFmtId="0">
      <sharedItems/>
    </cacheField>
    <cacheField name="Sub Area" numFmtId="0">
      <sharedItems/>
    </cacheField>
    <cacheField name="ResolvedBy" numFmtId="0">
      <sharedItems/>
    </cacheField>
    <cacheField name="Resolution Level" numFmtId="0">
      <sharedItems count="3">
        <s v="Level 3"/>
        <s v="Level 2"/>
        <s v="Level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2.511606828702" createdVersion="8" refreshedVersion="8" minRefreshableVersion="3" recordCount="22" xr:uid="{F91BA123-3D74-461C-BF59-ACA68501C9C6}">
  <cacheSource type="worksheet">
    <worksheetSource ref="A2:E24" sheet="Q21"/>
  </cacheSource>
  <cacheFields count="5">
    <cacheField name="Parent OrgID" numFmtId="0">
      <sharedItems containsSemiMixedTypes="0" containsString="0" containsNumber="1" containsInteger="1" minValue="1" maxValue="5" count="5">
        <n v="1"/>
        <n v="4"/>
        <n v="2"/>
        <n v="5"/>
        <n v="3"/>
      </sharedItems>
    </cacheField>
    <cacheField name="Org" numFmtId="0">
      <sharedItems count="22">
        <s v="U"/>
        <s v="N"/>
        <s v="B"/>
        <s v="Q"/>
        <s v="O"/>
        <s v="L"/>
        <s v="T"/>
        <s v="D"/>
        <s v="I"/>
        <s v="A"/>
        <s v="R"/>
        <s v="E"/>
        <s v="V"/>
        <s v="M"/>
        <s v="S"/>
        <s v="G"/>
        <s v="P"/>
        <s v="H"/>
        <s v="J"/>
        <s v="F"/>
        <s v="C"/>
        <s v="K"/>
      </sharedItems>
    </cacheField>
    <cacheField name="Accounts Payable" numFmtId="164">
      <sharedItems containsSemiMixedTypes="0" containsString="0" containsNumber="1" containsInteger="1" minValue="9800" maxValue="96794"/>
    </cacheField>
    <cacheField name="Accounts Receivable" numFmtId="164">
      <sharedItems containsSemiMixedTypes="0" containsString="0" containsNumber="1" containsInteger="1" minValue="3747" maxValue="91810"/>
    </cacheField>
    <cacheField name="Net Payble" numFmtId="164">
      <sharedItems containsSemiMixedTypes="0" containsString="0" containsNumber="1" containsInteger="1" minValue="-78296" maxValue="851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7.512727083333" createdVersion="8" refreshedVersion="8" minRefreshableVersion="3" recordCount="40" xr:uid="{D9B0E8AA-7CEE-4EC1-B400-8A3B0FA5497D}">
  <cacheSource type="worksheet">
    <worksheetSource ref="B4:M44" sheet="Data"/>
  </cacheSource>
  <cacheFields count="12">
    <cacheField name="S.no" numFmtId="0">
      <sharedItems containsSemiMixedTypes="0" containsString="0" containsNumber="1" containsInteger="1" minValue="1" maxValue="40"/>
    </cacheField>
    <cacheField name="Empolyee name" numFmtId="0">
      <sharedItems/>
    </cacheField>
    <cacheField name="Emp .ID" numFmtId="0">
      <sharedItems containsSemiMixedTypes="0" containsString="0" containsNumber="1" containsInteger="1" minValue="110" maxValue="121"/>
    </cacheField>
    <cacheField name="Gender" numFmtId="0">
      <sharedItems count="2">
        <s v="Male"/>
        <s v="Female"/>
      </sharedItems>
    </cacheField>
    <cacheField name="DOB" numFmtId="15">
      <sharedItems containsSemiMixedTypes="0" containsNonDate="0" containsDate="1" containsString="0" minDate="1991-01-28T00:00:00" maxDate="2001-10-13T00:00:00"/>
    </cacheField>
    <cacheField name="Work Location" numFmtId="0">
      <sharedItems count="4">
        <s v="Kol"/>
        <s v="Hyd"/>
        <s v="bng"/>
        <s v="Chn"/>
      </sharedItems>
    </cacheField>
    <cacheField name="Date Of Joing" numFmtId="14">
      <sharedItems containsSemiMixedTypes="0" containsNonDate="0" containsDate="1" containsString="0" minDate="2021-04-14T00:00:00" maxDate="2022-02-26T00:00:00"/>
    </cacheField>
    <cacheField name="Date Of Resignation" numFmtId="14">
      <sharedItems containsSemiMixedTypes="0" containsNonDate="0" containsDate="1" containsString="0" minDate="2021-11-12T00:00:00" maxDate="2024-01-26T00:00:00"/>
    </cacheField>
    <cacheField name="Salary" numFmtId="0">
      <sharedItems containsSemiMixedTypes="0" containsString="0" containsNumber="1" containsInteger="1" minValue="10000" maxValue="42000" count="5">
        <n v="42000"/>
        <n v="35000"/>
        <n v="18000"/>
        <n v="10000"/>
        <n v="20000"/>
      </sharedItems>
    </cacheField>
    <cacheField name="Total Experience" numFmtId="0">
      <sharedItems containsSemiMixedTypes="0" containsString="0" containsNumber="1" containsInteger="1" minValue="1" maxValue="10"/>
    </cacheField>
    <cacheField name="Emergency Contact Details" numFmtId="0">
      <sharedItems containsSemiMixedTypes="0" containsString="0" containsNumber="1" containsInteger="1" minValue="9108489803" maxValue="9903668284"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s v="Hardware"/>
    <s v="Damaged-Malfunctioned"/>
    <s v="C3i Helpdesk"/>
    <x v="0"/>
  </r>
  <r>
    <x v="0"/>
    <s v="Hardware"/>
    <s v="Complete System"/>
    <s v="C3i Helpdesk"/>
    <x v="0"/>
  </r>
  <r>
    <x v="0"/>
    <s v="Hardware"/>
    <s v="Usage"/>
    <s v="C3i Helpdesk"/>
    <x v="1"/>
  </r>
  <r>
    <x v="0"/>
    <s v="Off the Shelf"/>
    <s v="Windows 7"/>
    <s v="C3i Helpdesk"/>
    <x v="1"/>
  </r>
  <r>
    <x v="0"/>
    <s v=" No Area Given "/>
    <s v=" No Sub Area Given "/>
    <s v="C3i Helpdesk"/>
    <x v="2"/>
  </r>
  <r>
    <x v="0"/>
    <s v="iPad - Hardware"/>
    <s v="Lost/Stolen"/>
    <s v="C3i Helpdesk"/>
    <x v="1"/>
  </r>
  <r>
    <x v="0"/>
    <s v="Veeva"/>
    <s v="Calls"/>
    <s v="C3i Helpdesk"/>
    <x v="1"/>
  </r>
  <r>
    <x v="0"/>
    <s v="iPad - Hardware"/>
    <s v="Request"/>
    <s v="C3i Helpdesk"/>
    <x v="0"/>
  </r>
  <r>
    <x v="0"/>
    <s v="Veeva"/>
    <s v="Calls"/>
    <s v="C3i Helpdesk"/>
    <x v="1"/>
  </r>
  <r>
    <x v="0"/>
    <s v="Veeva"/>
    <s v="Calls"/>
    <s v="C3i Helpdesk"/>
    <x v="1"/>
  </r>
  <r>
    <x v="0"/>
    <s v="Veeva"/>
    <s v="Accounts"/>
    <s v="C3i Helpdesk"/>
    <x v="1"/>
  </r>
  <r>
    <x v="1"/>
    <s v="iPad - Hardware"/>
    <s v="Damaged/Malfunctioned"/>
    <s v="C3i Helpdesk"/>
    <x v="1"/>
  </r>
  <r>
    <x v="1"/>
    <s v="Veeva"/>
    <s v="Accounts"/>
    <s v="C3i Helpdesk"/>
    <x v="1"/>
  </r>
  <r>
    <x v="1"/>
    <s v="Veeva"/>
    <s v="Events"/>
    <s v="C3i Helpdesk"/>
    <x v="1"/>
  </r>
  <r>
    <x v="1"/>
    <s v="iRep"/>
    <s v="Installation"/>
    <s v="C3i Helpdesk"/>
    <x v="1"/>
  </r>
  <r>
    <x v="1"/>
    <s v="iRep"/>
    <s v="Send-Receive"/>
    <s v="C3i Helpdesk"/>
    <x v="1"/>
  </r>
  <r>
    <x v="1"/>
    <s v="iPad - Hardware"/>
    <s v="Damaged/Malfunctioned"/>
    <s v="C3i Helpdesk"/>
    <x v="0"/>
  </r>
  <r>
    <x v="1"/>
    <s v="iPad - Software"/>
    <s v="Application"/>
    <s v="C3i Helpdesk"/>
    <x v="1"/>
  </r>
  <r>
    <x v="1"/>
    <s v="iPad - Hardware"/>
    <s v="Lost/Stolen"/>
    <s v="C3i Helpdes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96175"/>
    <n v="10999"/>
    <n v="85176"/>
  </r>
  <r>
    <x v="0"/>
    <x v="1"/>
    <n v="96794"/>
    <n v="20303"/>
    <n v="76491"/>
  </r>
  <r>
    <x v="1"/>
    <x v="2"/>
    <n v="77887"/>
    <n v="3956"/>
    <n v="73931"/>
  </r>
  <r>
    <x v="1"/>
    <x v="3"/>
    <n v="72591"/>
    <n v="4732"/>
    <n v="67859"/>
  </r>
  <r>
    <x v="0"/>
    <x v="4"/>
    <n v="82598"/>
    <n v="25039"/>
    <n v="57559"/>
  </r>
  <r>
    <x v="1"/>
    <x v="5"/>
    <n v="49404"/>
    <n v="9744"/>
    <n v="39660"/>
  </r>
  <r>
    <x v="2"/>
    <x v="6"/>
    <n v="46976"/>
    <n v="14665"/>
    <n v="32311"/>
  </r>
  <r>
    <x v="0"/>
    <x v="7"/>
    <n v="75347"/>
    <n v="58745"/>
    <n v="16602"/>
  </r>
  <r>
    <x v="2"/>
    <x v="8"/>
    <n v="95624"/>
    <n v="81633"/>
    <n v="13991"/>
  </r>
  <r>
    <x v="3"/>
    <x v="9"/>
    <n v="40611"/>
    <n v="28042"/>
    <n v="12569"/>
  </r>
  <r>
    <x v="0"/>
    <x v="10"/>
    <n v="25955"/>
    <n v="14759"/>
    <n v="11196"/>
  </r>
  <r>
    <x v="2"/>
    <x v="11"/>
    <n v="13225"/>
    <n v="3747"/>
    <n v="9478"/>
  </r>
  <r>
    <x v="1"/>
    <x v="12"/>
    <n v="50284"/>
    <n v="51151"/>
    <n v="-867"/>
  </r>
  <r>
    <x v="4"/>
    <x v="13"/>
    <n v="12099"/>
    <n v="25646"/>
    <n v="-13547"/>
  </r>
  <r>
    <x v="1"/>
    <x v="14"/>
    <n v="9800"/>
    <n v="27335"/>
    <n v="-17535"/>
  </r>
  <r>
    <x v="0"/>
    <x v="15"/>
    <n v="59032"/>
    <n v="91810"/>
    <n v="-32778"/>
  </r>
  <r>
    <x v="2"/>
    <x v="16"/>
    <n v="53250"/>
    <n v="90334"/>
    <n v="-37084"/>
  </r>
  <r>
    <x v="1"/>
    <x v="17"/>
    <n v="37097"/>
    <n v="80666"/>
    <n v="-43569"/>
  </r>
  <r>
    <x v="4"/>
    <x v="18"/>
    <n v="11987"/>
    <n v="60815"/>
    <n v="-48828"/>
  </r>
  <r>
    <x v="2"/>
    <x v="19"/>
    <n v="27953"/>
    <n v="83580"/>
    <n v="-55627"/>
  </r>
  <r>
    <x v="0"/>
    <x v="20"/>
    <n v="14399"/>
    <n v="81411"/>
    <n v="-67012"/>
  </r>
  <r>
    <x v="0"/>
    <x v="21"/>
    <n v="13448"/>
    <n v="91744"/>
    <n v="-782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suresh"/>
    <n v="112"/>
    <x v="0"/>
    <d v="2001-07-12T00:00:00"/>
    <x v="0"/>
    <d v="2022-01-10T00:00:00"/>
    <d v="2023-02-01T00:00:00"/>
    <x v="0"/>
    <n v="8"/>
    <n v="9821934908"/>
    <s v="amerpet"/>
  </r>
  <r>
    <n v="2"/>
    <s v="naresh"/>
    <n v="113"/>
    <x v="1"/>
    <d v="1996-10-16T00:00:00"/>
    <x v="1"/>
    <d v="2021-11-07T00:00:00"/>
    <d v="2023-10-25T00:00:00"/>
    <x v="1"/>
    <n v="1"/>
    <n v="9543693808"/>
    <s v="suncity"/>
  </r>
  <r>
    <n v="3"/>
    <s v="mahesh"/>
    <n v="114"/>
    <x v="0"/>
    <d v="1991-01-28T00:00:00"/>
    <x v="2"/>
    <d v="2021-07-30T00:00:00"/>
    <d v="2021-12-28T00:00:00"/>
    <x v="1"/>
    <n v="3"/>
    <n v="9493205498"/>
    <s v="amerpet"/>
  </r>
  <r>
    <n v="4"/>
    <s v="naveen"/>
    <n v="115"/>
    <x v="1"/>
    <d v="2001-08-08T00:00:00"/>
    <x v="2"/>
    <d v="2021-10-23T00:00:00"/>
    <d v="2022-02-06T00:00:00"/>
    <x v="2"/>
    <n v="5"/>
    <n v="9136087980"/>
    <s v="amerpet"/>
  </r>
  <r>
    <n v="5"/>
    <s v="linga reddy"/>
    <n v="116"/>
    <x v="1"/>
    <d v="1996-03-27T00:00:00"/>
    <x v="3"/>
    <d v="2022-01-10T00:00:00"/>
    <d v="2023-05-02T00:00:00"/>
    <x v="1"/>
    <n v="9"/>
    <n v="9726733882"/>
    <s v="suncity"/>
  </r>
  <r>
    <n v="6"/>
    <s v="sam reddy"/>
    <n v="117"/>
    <x v="0"/>
    <d v="2000-12-25T00:00:00"/>
    <x v="2"/>
    <d v="2022-01-16T00:00:00"/>
    <d v="2024-01-13T00:00:00"/>
    <x v="0"/>
    <n v="9"/>
    <n v="9669292876"/>
    <s v="panjagutta"/>
  </r>
  <r>
    <n v="7"/>
    <s v="pavan"/>
    <n v="118"/>
    <x v="0"/>
    <d v="1993-12-16T00:00:00"/>
    <x v="3"/>
    <d v="2021-08-16T00:00:00"/>
    <d v="2023-05-08T00:00:00"/>
    <x v="3"/>
    <n v="9"/>
    <n v="9315204195"/>
    <s v="begumpet"/>
  </r>
  <r>
    <n v="8"/>
    <s v="kishan"/>
    <n v="119"/>
    <x v="1"/>
    <d v="1999-03-31T00:00:00"/>
    <x v="1"/>
    <d v="2021-11-04T00:00:00"/>
    <d v="2022-05-26T00:00:00"/>
    <x v="2"/>
    <n v="3"/>
    <n v="9285113634"/>
    <s v="suncity"/>
  </r>
  <r>
    <n v="9"/>
    <s v="harish"/>
    <n v="110"/>
    <x v="0"/>
    <d v="1998-11-10T00:00:00"/>
    <x v="3"/>
    <d v="2021-12-26T00:00:00"/>
    <d v="2023-03-07T00:00:00"/>
    <x v="1"/>
    <n v="8"/>
    <n v="9511890959"/>
    <s v="hitechcity"/>
  </r>
  <r>
    <n v="10"/>
    <s v="chandrashekr"/>
    <n v="111"/>
    <x v="1"/>
    <d v="1995-01-02T00:00:00"/>
    <x v="0"/>
    <d v="2021-06-25T00:00:00"/>
    <d v="2022-10-01T00:00:00"/>
    <x v="2"/>
    <n v="2"/>
    <n v="9178537741"/>
    <s v="amerpet"/>
  </r>
  <r>
    <n v="11"/>
    <s v="chintu"/>
    <n v="112"/>
    <x v="0"/>
    <d v="1997-07-31T00:00:00"/>
    <x v="3"/>
    <d v="2021-04-22T00:00:00"/>
    <d v="2022-04-26T00:00:00"/>
    <x v="3"/>
    <n v="7"/>
    <n v="9563258827"/>
    <s v="hitechcity"/>
  </r>
  <r>
    <n v="12"/>
    <s v="banti"/>
    <n v="113"/>
    <x v="0"/>
    <d v="1997-10-07T00:00:00"/>
    <x v="2"/>
    <d v="2021-07-05T00:00:00"/>
    <d v="2022-04-30T00:00:00"/>
    <x v="4"/>
    <n v="1"/>
    <n v="9903668284"/>
    <s v="hitechcity"/>
  </r>
  <r>
    <n v="13"/>
    <s v="nitin"/>
    <n v="114"/>
    <x v="1"/>
    <d v="2001-08-18T00:00:00"/>
    <x v="3"/>
    <d v="2021-07-18T00:00:00"/>
    <d v="2023-05-03T00:00:00"/>
    <x v="1"/>
    <n v="8"/>
    <n v="9412491495"/>
    <s v="panjagutta"/>
  </r>
  <r>
    <n v="14"/>
    <s v="sampath"/>
    <n v="115"/>
    <x v="1"/>
    <d v="1997-01-10T00:00:00"/>
    <x v="0"/>
    <d v="2022-02-25T00:00:00"/>
    <d v="2023-09-26T00:00:00"/>
    <x v="0"/>
    <n v="10"/>
    <n v="9580977285"/>
    <s v="begumpet"/>
  </r>
  <r>
    <n v="15"/>
    <s v="sanjeev"/>
    <n v="116"/>
    <x v="0"/>
    <d v="1996-02-10T00:00:00"/>
    <x v="2"/>
    <d v="2021-04-14T00:00:00"/>
    <d v="2022-08-12T00:00:00"/>
    <x v="4"/>
    <n v="2"/>
    <n v="9543199239"/>
    <s v="panjagutta"/>
  </r>
  <r>
    <n v="16"/>
    <s v="santosh"/>
    <n v="117"/>
    <x v="0"/>
    <d v="1997-08-07T00:00:00"/>
    <x v="3"/>
    <d v="2022-01-04T00:00:00"/>
    <d v="2022-06-13T00:00:00"/>
    <x v="3"/>
    <n v="7"/>
    <n v="9712763149"/>
    <s v="hitechcity"/>
  </r>
  <r>
    <n v="17"/>
    <s v="anil"/>
    <n v="118"/>
    <x v="0"/>
    <d v="1998-05-31T00:00:00"/>
    <x v="0"/>
    <d v="2021-10-25T00:00:00"/>
    <d v="2023-06-20T00:00:00"/>
    <x v="3"/>
    <n v="5"/>
    <n v="9750297284"/>
    <s v="suncity"/>
  </r>
  <r>
    <n v="18"/>
    <s v="raju"/>
    <n v="119"/>
    <x v="1"/>
    <d v="1996-06-23T00:00:00"/>
    <x v="1"/>
    <d v="2021-05-16T00:00:00"/>
    <d v="2022-04-22T00:00:00"/>
    <x v="1"/>
    <n v="9"/>
    <n v="9356037554"/>
    <s v="hitechcity"/>
  </r>
  <r>
    <n v="19"/>
    <s v="mahendar"/>
    <n v="120"/>
    <x v="1"/>
    <d v="1991-12-01T00:00:00"/>
    <x v="0"/>
    <d v="2022-02-12T00:00:00"/>
    <d v="2023-09-26T00:00:00"/>
    <x v="4"/>
    <n v="3"/>
    <n v="9816090272"/>
    <s v="begumpet"/>
  </r>
  <r>
    <n v="20"/>
    <s v="venkatesh"/>
    <n v="121"/>
    <x v="1"/>
    <d v="2000-02-17T00:00:00"/>
    <x v="0"/>
    <d v="2021-08-30T00:00:00"/>
    <d v="2022-10-23T00:00:00"/>
    <x v="4"/>
    <n v="6"/>
    <n v="9372396296"/>
    <s v="panjagutta"/>
  </r>
  <r>
    <n v="21"/>
    <s v="Nikhil"/>
    <n v="112"/>
    <x v="0"/>
    <d v="2001-06-05T00:00:00"/>
    <x v="3"/>
    <d v="2021-08-23T00:00:00"/>
    <d v="2023-04-22T00:00:00"/>
    <x v="2"/>
    <n v="1"/>
    <n v="9756436801"/>
    <s v="amerpet"/>
  </r>
  <r>
    <n v="22"/>
    <s v="sowkya"/>
    <n v="113"/>
    <x v="0"/>
    <d v="2001-07-17T00:00:00"/>
    <x v="2"/>
    <d v="2021-12-23T00:00:00"/>
    <d v="2023-01-24T00:00:00"/>
    <x v="1"/>
    <n v="6"/>
    <n v="9260569132"/>
    <s v="suncity"/>
  </r>
  <r>
    <n v="23"/>
    <s v="Rani"/>
    <n v="114"/>
    <x v="1"/>
    <d v="1992-04-05T00:00:00"/>
    <x v="1"/>
    <d v="2022-01-16T00:00:00"/>
    <d v="2023-08-11T00:00:00"/>
    <x v="4"/>
    <n v="3"/>
    <n v="9521494464"/>
    <s v="amerpet"/>
  </r>
  <r>
    <n v="24"/>
    <s v="Tharun"/>
    <n v="115"/>
    <x v="1"/>
    <d v="1997-01-01T00:00:00"/>
    <x v="2"/>
    <d v="2021-11-07T00:00:00"/>
    <d v="2022-11-20T00:00:00"/>
    <x v="2"/>
    <n v="7"/>
    <n v="9592356344"/>
    <s v="amerpet"/>
  </r>
  <r>
    <n v="25"/>
    <s v="Laxmi.Panimanishi"/>
    <n v="116"/>
    <x v="1"/>
    <d v="2001-06-20T00:00:00"/>
    <x v="2"/>
    <d v="2021-09-17T00:00:00"/>
    <d v="2022-11-07T00:00:00"/>
    <x v="4"/>
    <n v="10"/>
    <n v="9420689442"/>
    <s v="suncity"/>
  </r>
  <r>
    <n v="26"/>
    <s v="ushakka"/>
    <n v="117"/>
    <x v="1"/>
    <d v="1992-12-24T00:00:00"/>
    <x v="3"/>
    <d v="2021-08-09T00:00:00"/>
    <d v="2023-01-20T00:00:00"/>
    <x v="4"/>
    <n v="10"/>
    <n v="9323047053"/>
    <s v="panjagutta"/>
  </r>
  <r>
    <n v="27"/>
    <s v="snadya"/>
    <n v="118"/>
    <x v="0"/>
    <d v="2000-04-03T00:00:00"/>
    <x v="3"/>
    <d v="2021-07-18T00:00:00"/>
    <d v="2021-11-12T00:00:00"/>
    <x v="1"/>
    <n v="7"/>
    <n v="9175236256"/>
    <s v="begumpet"/>
  </r>
  <r>
    <n v="28"/>
    <s v="rahu"/>
    <n v="119"/>
    <x v="0"/>
    <d v="1996-10-01T00:00:00"/>
    <x v="3"/>
    <d v="2021-11-17T00:00:00"/>
    <d v="2022-12-31T00:00:00"/>
    <x v="1"/>
    <n v="6"/>
    <n v="9650155772"/>
    <s v="suncity"/>
  </r>
  <r>
    <n v="29"/>
    <s v="sayyad"/>
    <n v="110"/>
    <x v="0"/>
    <d v="1994-09-01T00:00:00"/>
    <x v="0"/>
    <d v="2021-06-10T00:00:00"/>
    <d v="2021-12-30T00:00:00"/>
    <x v="3"/>
    <n v="7"/>
    <n v="9108489803"/>
    <s v="hitechcity"/>
  </r>
  <r>
    <n v="30"/>
    <s v="tabassum"/>
    <n v="111"/>
    <x v="0"/>
    <d v="1994-10-28T00:00:00"/>
    <x v="3"/>
    <d v="2021-08-01T00:00:00"/>
    <d v="2023-05-14T00:00:00"/>
    <x v="2"/>
    <n v="5"/>
    <n v="9175153983"/>
    <s v="amerpet"/>
  </r>
  <r>
    <n v="31"/>
    <s v="sunny"/>
    <n v="112"/>
    <x v="1"/>
    <d v="2001-10-12T00:00:00"/>
    <x v="2"/>
    <d v="2021-05-09T00:00:00"/>
    <d v="2023-02-19T00:00:00"/>
    <x v="3"/>
    <n v="3"/>
    <n v="9256089954"/>
    <s v="hitechcity"/>
  </r>
  <r>
    <n v="32"/>
    <s v="vinny"/>
    <n v="113"/>
    <x v="0"/>
    <d v="1998-09-30T00:00:00"/>
    <x v="2"/>
    <d v="2021-07-31T00:00:00"/>
    <d v="2023-03-03T00:00:00"/>
    <x v="1"/>
    <n v="4"/>
    <n v="9471908056"/>
    <s v="hitechcity"/>
  </r>
  <r>
    <n v="33"/>
    <s v="chinni"/>
    <n v="114"/>
    <x v="0"/>
    <d v="1995-08-01T00:00:00"/>
    <x v="1"/>
    <d v="2021-11-12T00:00:00"/>
    <d v="2022-03-05T00:00:00"/>
    <x v="1"/>
    <n v="7"/>
    <n v="9361742681"/>
    <s v="panjagutta"/>
  </r>
  <r>
    <n v="34"/>
    <s v="vijay"/>
    <n v="115"/>
    <x v="0"/>
    <d v="1999-10-04T00:00:00"/>
    <x v="3"/>
    <d v="2022-02-01T00:00:00"/>
    <d v="2024-01-25T00:00:00"/>
    <x v="4"/>
    <n v="6"/>
    <n v="9550307866"/>
    <s v="begumpet"/>
  </r>
  <r>
    <n v="35"/>
    <s v="shashi"/>
    <n v="116"/>
    <x v="1"/>
    <d v="1991-10-24T00:00:00"/>
    <x v="0"/>
    <d v="2021-09-28T00:00:00"/>
    <d v="2022-04-08T00:00:00"/>
    <x v="3"/>
    <n v="7"/>
    <n v="9456201256"/>
    <s v="panjagutta"/>
  </r>
  <r>
    <n v="36"/>
    <s v="prashi"/>
    <n v="117"/>
    <x v="1"/>
    <d v="1996-01-13T00:00:00"/>
    <x v="2"/>
    <d v="2021-04-29T00:00:00"/>
    <d v="2022-04-17T00:00:00"/>
    <x v="3"/>
    <n v="2"/>
    <n v="9234670550"/>
    <s v="hitechcity"/>
  </r>
  <r>
    <n v="37"/>
    <s v="kranthi"/>
    <n v="118"/>
    <x v="0"/>
    <d v="1992-03-27T00:00:00"/>
    <x v="1"/>
    <d v="2022-02-13T00:00:00"/>
    <d v="2023-09-10T00:00:00"/>
    <x v="1"/>
    <n v="9"/>
    <n v="9623465455"/>
    <s v="suncity"/>
  </r>
  <r>
    <n v="38"/>
    <s v="pullaiah"/>
    <n v="119"/>
    <x v="0"/>
    <d v="1992-10-03T00:00:00"/>
    <x v="1"/>
    <d v="2021-09-05T00:00:00"/>
    <d v="2023-01-05T00:00:00"/>
    <x v="3"/>
    <n v="8"/>
    <n v="9257334815"/>
    <s v="hitechcity"/>
  </r>
  <r>
    <n v="39"/>
    <s v="Naresh"/>
    <n v="120"/>
    <x v="1"/>
    <d v="1992-12-22T00:00:00"/>
    <x v="3"/>
    <d v="2021-09-17T00:00:00"/>
    <d v="2023-01-14T00:00:00"/>
    <x v="1"/>
    <n v="10"/>
    <n v="9463131191"/>
    <s v="begumpet"/>
  </r>
  <r>
    <n v="40"/>
    <s v="vikas"/>
    <n v="121"/>
    <x v="0"/>
    <d v="1997-09-07T00:00:00"/>
    <x v="1"/>
    <d v="2022-01-04T00:00:00"/>
    <d v="2023-10-16T00:00:00"/>
    <x v="2"/>
    <n v="3"/>
    <n v="9659532373"/>
    <s v="panjagut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8D8B-1FEC-4E79-B980-AEB05D58F891}" name="PivotTable27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OLUTION LEVEL">
  <location ref="G10:J15" firstHeaderRow="1" firstDataRow="2" firstDataCol="1"/>
  <pivotFields count="5"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7684A-D746-4FA8-B693-60C782E78699}" name="PivotTable46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0" firstHeaderRow="1" firstDataRow="2" firstDataCol="1"/>
  <pivotFields count="12">
    <pivotField showAll="0"/>
    <pivotField showAll="0"/>
    <pivotField showAll="0"/>
    <pivotField axis="axisCol" showAll="0">
      <items count="3">
        <item h="1" x="1"/>
        <item x="0"/>
        <item t="default"/>
      </items>
    </pivotField>
    <pivotField numFmtId="15" showAll="0"/>
    <pivotField axis="axisRow" showAll="0">
      <items count="5">
        <item x="2"/>
        <item h="1" x="3"/>
        <item h="1" x="1"/>
        <item h="1" x="0"/>
        <item t="default"/>
      </items>
    </pivotField>
    <pivotField numFmtId="14" showAll="0"/>
    <pivotField numFmtId="14" showAll="0"/>
    <pivotField dataField="1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">
    <i>
      <x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EB1EE-A3BA-496A-8A82-5C0938778EE5}" name="PivotTable47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0" firstHeaderRow="1" firstDataRow="1" firstDataCol="1"/>
  <pivotFields count="12"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numFmtId="15"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554DD-646B-40BA-921F-ED054EEE9F03}" name="PivotTable38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11" firstHeaderRow="1" firstDataRow="1" firstDataCol="1"/>
  <pivotFields count="5"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3">
        <item x="9"/>
        <item x="2"/>
        <item x="20"/>
        <item x="7"/>
        <item x="11"/>
        <item x="19"/>
        <item x="15"/>
        <item x="17"/>
        <item x="8"/>
        <item x="18"/>
        <item x="21"/>
        <item x="5"/>
        <item x="13"/>
        <item x="1"/>
        <item x="4"/>
        <item x="16"/>
        <item x="3"/>
        <item x="10"/>
        <item x="14"/>
        <item x="6"/>
        <item x="0"/>
        <item x="12"/>
        <item t="default"/>
      </items>
    </pivotField>
    <pivotField numFmtId="164" showAll="0"/>
    <pivotField numFmtId="164" showAll="0"/>
    <pivotField numFmtId="164" showAll="0"/>
  </pivotFields>
  <rowFields count="1">
    <field x="0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Count of Or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DDE78-82AF-4CCE-82CF-2078ED89DE83}" name="PivotTable37" cacheId="135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I5:J11" firstHeaderRow="1" firstDataRow="1" firstDataCol="1"/>
  <pivotFields count="5">
    <pivotField axis="axisRow" showAll="0" sortType="descending">
      <items count="6">
        <item x="3"/>
        <item x="1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9"/>
        <item x="2"/>
        <item x="20"/>
        <item x="7"/>
        <item x="11"/>
        <item x="19"/>
        <item x="15"/>
        <item x="17"/>
        <item x="8"/>
        <item x="18"/>
        <item x="21"/>
        <item x="5"/>
        <item x="13"/>
        <item x="1"/>
        <item x="4"/>
        <item x="16"/>
        <item x="3"/>
        <item x="10"/>
        <item x="14"/>
        <item x="6"/>
        <item x="0"/>
        <item x="12"/>
        <item t="default"/>
      </items>
    </pivotField>
    <pivotField numFmtId="164" showAll="0"/>
    <pivotField numFmtId="164" showAll="0"/>
    <pivotField dataField="1" numFmtId="164" showAll="0"/>
  </pivotFields>
  <rowFields count="1">
    <field x="0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Net Payble" fld="4" baseField="1" baseItem="6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topLeftCell="A2" workbookViewId="0">
      <selection activeCell="G42" sqref="G42"/>
    </sheetView>
  </sheetViews>
  <sheetFormatPr defaultColWidth="14.453125" defaultRowHeight="15" customHeight="1" x14ac:dyDescent="0.35"/>
  <cols>
    <col min="1" max="1" width="8.7265625" customWidth="1"/>
    <col min="2" max="2" width="7.81640625" customWidth="1"/>
    <col min="3" max="3" width="36.7265625" customWidth="1"/>
    <col min="4" max="4" width="8.7265625" customWidth="1"/>
    <col min="5" max="6" width="22.54296875" customWidth="1"/>
    <col min="7" max="7" width="20.453125" customWidth="1"/>
    <col min="8" max="10" width="19.26953125" customWidth="1"/>
    <col min="11" max="12" width="27.54296875" customWidth="1"/>
    <col min="13" max="13" width="11.08984375" customWidth="1"/>
    <col min="14" max="26" width="8.7265625" customWidth="1"/>
  </cols>
  <sheetData>
    <row r="1" spans="2:13" ht="14.25" customHeight="1" x14ac:dyDescent="0.35"/>
    <row r="2" spans="2:13" ht="14.25" customHeight="1" x14ac:dyDescent="0.35">
      <c r="H2" s="1" t="s">
        <v>0</v>
      </c>
    </row>
    <row r="3" spans="2:13" ht="14.25" customHeight="1" x14ac:dyDescent="0.35"/>
    <row r="4" spans="2:13" ht="14.25" customHeight="1" x14ac:dyDescent="0.35">
      <c r="B4" s="2" t="s">
        <v>2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2:13" ht="14.25" customHeight="1" x14ac:dyDescent="0.35">
      <c r="B5" s="3">
        <v>1</v>
      </c>
      <c r="C5" s="3" t="s">
        <v>16</v>
      </c>
      <c r="D5" s="3">
        <v>112</v>
      </c>
      <c r="E5" s="3" t="s">
        <v>17</v>
      </c>
      <c r="F5" s="4">
        <v>37084</v>
      </c>
      <c r="G5" s="3" t="s">
        <v>18</v>
      </c>
      <c r="H5" s="5">
        <v>44571</v>
      </c>
      <c r="I5" s="5">
        <v>44958</v>
      </c>
      <c r="J5" s="3">
        <v>42000</v>
      </c>
      <c r="K5" s="3">
        <v>8</v>
      </c>
      <c r="L5" s="3">
        <v>9821934908</v>
      </c>
      <c r="M5" s="3" t="s">
        <v>23</v>
      </c>
    </row>
    <row r="6" spans="2:13" ht="14.25" customHeight="1" x14ac:dyDescent="0.35">
      <c r="B6" s="3">
        <v>2</v>
      </c>
      <c r="C6" s="3" t="s">
        <v>25</v>
      </c>
      <c r="D6" s="3">
        <v>113</v>
      </c>
      <c r="E6" s="3" t="s">
        <v>27</v>
      </c>
      <c r="F6" s="4">
        <v>35354</v>
      </c>
      <c r="G6" s="3" t="s">
        <v>29</v>
      </c>
      <c r="H6" s="5">
        <v>44507</v>
      </c>
      <c r="I6" s="5">
        <v>45224</v>
      </c>
      <c r="J6" s="3">
        <v>35000</v>
      </c>
      <c r="K6" s="3">
        <v>1</v>
      </c>
      <c r="L6" s="3">
        <v>9543693808</v>
      </c>
      <c r="M6" s="3" t="s">
        <v>32</v>
      </c>
    </row>
    <row r="7" spans="2:13" ht="14.25" customHeight="1" x14ac:dyDescent="0.35">
      <c r="B7" s="3">
        <v>3</v>
      </c>
      <c r="C7" s="3" t="s">
        <v>35</v>
      </c>
      <c r="D7" s="3">
        <v>114</v>
      </c>
      <c r="E7" s="3" t="s">
        <v>17</v>
      </c>
      <c r="F7" s="4">
        <v>33266</v>
      </c>
      <c r="G7" s="3" t="s">
        <v>430</v>
      </c>
      <c r="H7" s="5">
        <v>44407</v>
      </c>
      <c r="I7" s="5">
        <v>44558</v>
      </c>
      <c r="J7" s="3">
        <v>35000</v>
      </c>
      <c r="K7" s="3">
        <v>3</v>
      </c>
      <c r="L7" s="3">
        <v>9493205498</v>
      </c>
      <c r="M7" s="3" t="s">
        <v>23</v>
      </c>
    </row>
    <row r="8" spans="2:13" ht="14.25" customHeight="1" x14ac:dyDescent="0.35">
      <c r="B8" s="3">
        <v>4</v>
      </c>
      <c r="C8" s="3" t="s">
        <v>39</v>
      </c>
      <c r="D8" s="3">
        <v>115</v>
      </c>
      <c r="E8" s="3" t="s">
        <v>27</v>
      </c>
      <c r="F8" s="4">
        <v>37111</v>
      </c>
      <c r="G8" s="3" t="s">
        <v>430</v>
      </c>
      <c r="H8" s="5">
        <v>44492</v>
      </c>
      <c r="I8" s="5">
        <v>44598</v>
      </c>
      <c r="J8" s="3">
        <v>18000</v>
      </c>
      <c r="K8" s="3">
        <v>5</v>
      </c>
      <c r="L8" s="3">
        <v>9136087980</v>
      </c>
      <c r="M8" s="3" t="s">
        <v>23</v>
      </c>
    </row>
    <row r="9" spans="2:13" ht="14.25" customHeight="1" x14ac:dyDescent="0.35">
      <c r="B9" s="3">
        <v>5</v>
      </c>
      <c r="C9" s="3" t="s">
        <v>44</v>
      </c>
      <c r="D9" s="3">
        <v>116</v>
      </c>
      <c r="E9" s="3" t="s">
        <v>27</v>
      </c>
      <c r="F9" s="4">
        <v>35151</v>
      </c>
      <c r="G9" s="3" t="s">
        <v>46</v>
      </c>
      <c r="H9" s="5">
        <v>44571</v>
      </c>
      <c r="I9" s="5">
        <v>45048</v>
      </c>
      <c r="J9" s="3">
        <v>35000</v>
      </c>
      <c r="K9" s="3">
        <v>9</v>
      </c>
      <c r="L9" s="3">
        <v>9726733882</v>
      </c>
      <c r="M9" s="3" t="s">
        <v>32</v>
      </c>
    </row>
    <row r="10" spans="2:13" ht="14.25" customHeight="1" x14ac:dyDescent="0.35">
      <c r="B10" s="3">
        <v>6</v>
      </c>
      <c r="C10" s="3" t="s">
        <v>50</v>
      </c>
      <c r="D10" s="3">
        <v>117</v>
      </c>
      <c r="E10" s="3" t="s">
        <v>17</v>
      </c>
      <c r="F10" s="4">
        <v>36885</v>
      </c>
      <c r="G10" s="3" t="s">
        <v>430</v>
      </c>
      <c r="H10" s="5">
        <v>44577</v>
      </c>
      <c r="I10" s="5">
        <v>45304</v>
      </c>
      <c r="J10" s="3">
        <v>42000</v>
      </c>
      <c r="K10" s="3">
        <v>9</v>
      </c>
      <c r="L10" s="3">
        <v>9669292876</v>
      </c>
      <c r="M10" s="3" t="s">
        <v>55</v>
      </c>
    </row>
    <row r="11" spans="2:13" ht="14.25" customHeight="1" x14ac:dyDescent="0.35">
      <c r="B11" s="3">
        <v>7</v>
      </c>
      <c r="C11" s="3" t="s">
        <v>59</v>
      </c>
      <c r="D11" s="3">
        <v>118</v>
      </c>
      <c r="E11" s="3" t="s">
        <v>17</v>
      </c>
      <c r="F11" s="4">
        <v>34319</v>
      </c>
      <c r="G11" s="3" t="s">
        <v>46</v>
      </c>
      <c r="H11" s="5">
        <v>44424</v>
      </c>
      <c r="I11" s="5">
        <v>45054</v>
      </c>
      <c r="J11" s="3">
        <v>10000</v>
      </c>
      <c r="K11" s="3">
        <v>9</v>
      </c>
      <c r="L11" s="3">
        <v>9315204195</v>
      </c>
      <c r="M11" s="3" t="s">
        <v>101</v>
      </c>
    </row>
    <row r="12" spans="2:13" ht="14.25" customHeight="1" x14ac:dyDescent="0.35">
      <c r="B12" s="3">
        <v>8</v>
      </c>
      <c r="C12" s="3" t="s">
        <v>104</v>
      </c>
      <c r="D12" s="3">
        <v>119</v>
      </c>
      <c r="E12" s="3" t="s">
        <v>27</v>
      </c>
      <c r="F12" s="4">
        <v>36250</v>
      </c>
      <c r="G12" s="3" t="s">
        <v>29</v>
      </c>
      <c r="H12" s="5">
        <v>44504</v>
      </c>
      <c r="I12" s="5">
        <v>44707</v>
      </c>
      <c r="J12" s="3">
        <v>18000</v>
      </c>
      <c r="K12" s="3">
        <v>3</v>
      </c>
      <c r="L12" s="3">
        <v>9285113634</v>
      </c>
      <c r="M12" s="3" t="s">
        <v>32</v>
      </c>
    </row>
    <row r="13" spans="2:13" ht="14.25" customHeight="1" x14ac:dyDescent="0.35">
      <c r="B13" s="3">
        <v>9</v>
      </c>
      <c r="C13" s="3" t="s">
        <v>110</v>
      </c>
      <c r="D13" s="3">
        <v>110</v>
      </c>
      <c r="E13" s="3" t="s">
        <v>17</v>
      </c>
      <c r="F13" s="4">
        <v>36109</v>
      </c>
      <c r="G13" s="3" t="s">
        <v>46</v>
      </c>
      <c r="H13" s="5">
        <v>44556</v>
      </c>
      <c r="I13" s="5">
        <v>44992</v>
      </c>
      <c r="J13" s="3">
        <v>35000</v>
      </c>
      <c r="K13" s="3">
        <v>8</v>
      </c>
      <c r="L13" s="3">
        <v>9511890959</v>
      </c>
      <c r="M13" s="3" t="s">
        <v>112</v>
      </c>
    </row>
    <row r="14" spans="2:13" ht="14.25" customHeight="1" x14ac:dyDescent="0.35">
      <c r="B14" s="3">
        <v>10</v>
      </c>
      <c r="C14" s="3" t="s">
        <v>114</v>
      </c>
      <c r="D14" s="3">
        <v>111</v>
      </c>
      <c r="E14" s="3" t="s">
        <v>27</v>
      </c>
      <c r="F14" s="4">
        <v>34701</v>
      </c>
      <c r="G14" s="3" t="s">
        <v>18</v>
      </c>
      <c r="H14" s="5">
        <v>44372</v>
      </c>
      <c r="I14" s="5">
        <v>44835</v>
      </c>
      <c r="J14" s="3">
        <v>18000</v>
      </c>
      <c r="K14" s="3">
        <v>2</v>
      </c>
      <c r="L14" s="3">
        <v>9178537741</v>
      </c>
      <c r="M14" s="3" t="s">
        <v>23</v>
      </c>
    </row>
    <row r="15" spans="2:13" ht="14.25" customHeight="1" x14ac:dyDescent="0.35">
      <c r="B15" s="3">
        <v>11</v>
      </c>
      <c r="C15" s="3" t="s">
        <v>118</v>
      </c>
      <c r="D15" s="3">
        <v>112</v>
      </c>
      <c r="E15" s="3" t="s">
        <v>17</v>
      </c>
      <c r="F15" s="4">
        <v>35642</v>
      </c>
      <c r="G15" s="3" t="s">
        <v>46</v>
      </c>
      <c r="H15" s="5">
        <v>44308</v>
      </c>
      <c r="I15" s="5">
        <v>44677</v>
      </c>
      <c r="J15" s="3">
        <v>10000</v>
      </c>
      <c r="K15" s="3">
        <v>7</v>
      </c>
      <c r="L15" s="3">
        <v>9563258827</v>
      </c>
      <c r="M15" s="3" t="s">
        <v>112</v>
      </c>
    </row>
    <row r="16" spans="2:13" ht="14.25" customHeight="1" x14ac:dyDescent="0.35">
      <c r="B16" s="3">
        <v>12</v>
      </c>
      <c r="C16" s="3" t="s">
        <v>123</v>
      </c>
      <c r="D16" s="3">
        <v>113</v>
      </c>
      <c r="E16" s="3" t="s">
        <v>17</v>
      </c>
      <c r="F16" s="4">
        <v>35710</v>
      </c>
      <c r="G16" s="3" t="s">
        <v>430</v>
      </c>
      <c r="H16" s="5">
        <v>44382</v>
      </c>
      <c r="I16" s="5">
        <v>44681</v>
      </c>
      <c r="J16" s="3">
        <v>20000</v>
      </c>
      <c r="K16" s="3">
        <v>1</v>
      </c>
      <c r="L16" s="3">
        <v>9903668284</v>
      </c>
      <c r="M16" s="3" t="s">
        <v>112</v>
      </c>
    </row>
    <row r="17" spans="2:13" ht="14.25" customHeight="1" x14ac:dyDescent="0.35">
      <c r="B17" s="3">
        <v>13</v>
      </c>
      <c r="C17" s="3" t="s">
        <v>127</v>
      </c>
      <c r="D17" s="3">
        <v>114</v>
      </c>
      <c r="E17" s="3" t="s">
        <v>27</v>
      </c>
      <c r="F17" s="4">
        <v>37121</v>
      </c>
      <c r="G17" s="3" t="s">
        <v>46</v>
      </c>
      <c r="H17" s="5">
        <v>44395</v>
      </c>
      <c r="I17" s="5">
        <v>45049</v>
      </c>
      <c r="J17" s="3">
        <v>35000</v>
      </c>
      <c r="K17" s="3">
        <v>8</v>
      </c>
      <c r="L17" s="3">
        <v>9412491495</v>
      </c>
      <c r="M17" s="3" t="s">
        <v>55</v>
      </c>
    </row>
    <row r="18" spans="2:13" ht="14.25" customHeight="1" x14ac:dyDescent="0.35">
      <c r="B18" s="3">
        <v>14</v>
      </c>
      <c r="C18" s="3" t="s">
        <v>130</v>
      </c>
      <c r="D18" s="3">
        <v>115</v>
      </c>
      <c r="E18" s="3" t="s">
        <v>27</v>
      </c>
      <c r="F18" s="4">
        <v>35440</v>
      </c>
      <c r="G18" s="3" t="s">
        <v>18</v>
      </c>
      <c r="H18" s="5">
        <v>44617</v>
      </c>
      <c r="I18" s="5">
        <v>45195</v>
      </c>
      <c r="J18" s="3">
        <v>42000</v>
      </c>
      <c r="K18" s="3">
        <v>10</v>
      </c>
      <c r="L18" s="3">
        <v>9580977285</v>
      </c>
      <c r="M18" s="3" t="s">
        <v>101</v>
      </c>
    </row>
    <row r="19" spans="2:13" ht="14.25" customHeight="1" x14ac:dyDescent="0.35">
      <c r="B19" s="3">
        <v>15</v>
      </c>
      <c r="C19" s="3" t="s">
        <v>132</v>
      </c>
      <c r="D19" s="3">
        <v>116</v>
      </c>
      <c r="E19" s="3" t="s">
        <v>17</v>
      </c>
      <c r="F19" s="4">
        <v>35105</v>
      </c>
      <c r="G19" s="3" t="s">
        <v>430</v>
      </c>
      <c r="H19" s="5">
        <v>44300</v>
      </c>
      <c r="I19" s="5">
        <v>44785</v>
      </c>
      <c r="J19" s="3">
        <v>20000</v>
      </c>
      <c r="K19" s="3">
        <v>2</v>
      </c>
      <c r="L19" s="3">
        <v>9543199239</v>
      </c>
      <c r="M19" s="3" t="s">
        <v>55</v>
      </c>
    </row>
    <row r="20" spans="2:13" ht="14.25" customHeight="1" x14ac:dyDescent="0.35">
      <c r="B20" s="3">
        <v>16</v>
      </c>
      <c r="C20" s="3" t="s">
        <v>134</v>
      </c>
      <c r="D20" s="3">
        <v>117</v>
      </c>
      <c r="E20" s="3" t="s">
        <v>17</v>
      </c>
      <c r="F20" s="4">
        <v>35649</v>
      </c>
      <c r="G20" s="3" t="s">
        <v>46</v>
      </c>
      <c r="H20" s="5">
        <v>44565</v>
      </c>
      <c r="I20" s="5">
        <v>44725</v>
      </c>
      <c r="J20" s="3">
        <v>10000</v>
      </c>
      <c r="K20" s="3">
        <v>7</v>
      </c>
      <c r="L20" s="3">
        <v>9712763149</v>
      </c>
      <c r="M20" s="3" t="s">
        <v>112</v>
      </c>
    </row>
    <row r="21" spans="2:13" ht="14.25" customHeight="1" x14ac:dyDescent="0.35">
      <c r="B21" s="3">
        <v>17</v>
      </c>
      <c r="C21" s="3" t="s">
        <v>135</v>
      </c>
      <c r="D21" s="3">
        <v>118</v>
      </c>
      <c r="E21" s="3" t="s">
        <v>17</v>
      </c>
      <c r="F21" s="4">
        <v>35946</v>
      </c>
      <c r="G21" s="3" t="s">
        <v>18</v>
      </c>
      <c r="H21" s="5">
        <v>44494</v>
      </c>
      <c r="I21" s="5">
        <v>45097</v>
      </c>
      <c r="J21" s="3">
        <v>10000</v>
      </c>
      <c r="K21" s="3">
        <v>5</v>
      </c>
      <c r="L21" s="3">
        <v>9750297284</v>
      </c>
      <c r="M21" s="3" t="s">
        <v>32</v>
      </c>
    </row>
    <row r="22" spans="2:13" ht="14.25" customHeight="1" x14ac:dyDescent="0.35">
      <c r="B22" s="3">
        <v>18</v>
      </c>
      <c r="C22" s="3" t="s">
        <v>137</v>
      </c>
      <c r="D22" s="3">
        <v>119</v>
      </c>
      <c r="E22" s="3" t="s">
        <v>27</v>
      </c>
      <c r="F22" s="4">
        <v>35239</v>
      </c>
      <c r="G22" s="3" t="s">
        <v>29</v>
      </c>
      <c r="H22" s="5">
        <v>44332</v>
      </c>
      <c r="I22" s="5">
        <v>44673</v>
      </c>
      <c r="J22" s="3">
        <v>35000</v>
      </c>
      <c r="K22" s="3">
        <v>9</v>
      </c>
      <c r="L22" s="3">
        <v>9356037554</v>
      </c>
      <c r="M22" s="3" t="s">
        <v>112</v>
      </c>
    </row>
    <row r="23" spans="2:13" ht="14.25" customHeight="1" x14ac:dyDescent="0.35">
      <c r="B23" s="3">
        <v>19</v>
      </c>
      <c r="C23" s="3" t="s">
        <v>139</v>
      </c>
      <c r="D23" s="3">
        <v>120</v>
      </c>
      <c r="E23" s="3" t="s">
        <v>27</v>
      </c>
      <c r="F23" s="4">
        <v>33573</v>
      </c>
      <c r="G23" s="3" t="s">
        <v>18</v>
      </c>
      <c r="H23" s="5">
        <v>44604</v>
      </c>
      <c r="I23" s="5">
        <v>45195</v>
      </c>
      <c r="J23" s="3">
        <v>20000</v>
      </c>
      <c r="K23" s="3">
        <v>3</v>
      </c>
      <c r="L23" s="3">
        <v>9816090272</v>
      </c>
      <c r="M23" s="3" t="s">
        <v>101</v>
      </c>
    </row>
    <row r="24" spans="2:13" ht="14.25" customHeight="1" x14ac:dyDescent="0.35">
      <c r="B24" s="3">
        <v>20</v>
      </c>
      <c r="C24" s="3" t="s">
        <v>140</v>
      </c>
      <c r="D24" s="3">
        <v>121</v>
      </c>
      <c r="E24" s="3" t="s">
        <v>27</v>
      </c>
      <c r="F24" s="4">
        <v>36573</v>
      </c>
      <c r="G24" s="3" t="s">
        <v>18</v>
      </c>
      <c r="H24" s="5">
        <v>44438</v>
      </c>
      <c r="I24" s="5">
        <v>44857</v>
      </c>
      <c r="J24" s="3">
        <v>20000</v>
      </c>
      <c r="K24" s="3">
        <v>6</v>
      </c>
      <c r="L24" s="3">
        <v>9372396296</v>
      </c>
      <c r="M24" s="3" t="s">
        <v>55</v>
      </c>
    </row>
    <row r="25" spans="2:13" ht="14.25" customHeight="1" x14ac:dyDescent="0.35">
      <c r="B25" s="3">
        <v>21</v>
      </c>
      <c r="C25" s="3" t="s">
        <v>143</v>
      </c>
      <c r="D25" s="3">
        <v>112</v>
      </c>
      <c r="E25" s="3" t="s">
        <v>17</v>
      </c>
      <c r="F25" s="4">
        <v>37047</v>
      </c>
      <c r="G25" s="3" t="s">
        <v>46</v>
      </c>
      <c r="H25" s="5">
        <v>44431</v>
      </c>
      <c r="I25" s="5">
        <v>45038</v>
      </c>
      <c r="J25" s="3">
        <v>18000</v>
      </c>
      <c r="K25" s="3">
        <v>1</v>
      </c>
      <c r="L25" s="3">
        <v>9756436801</v>
      </c>
      <c r="M25" s="3" t="s">
        <v>23</v>
      </c>
    </row>
    <row r="26" spans="2:13" ht="14.25" customHeight="1" x14ac:dyDescent="0.35">
      <c r="B26" s="3">
        <v>22</v>
      </c>
      <c r="C26" s="3" t="s">
        <v>145</v>
      </c>
      <c r="D26" s="3">
        <v>113</v>
      </c>
      <c r="E26" s="3" t="s">
        <v>17</v>
      </c>
      <c r="F26" s="4">
        <v>37089</v>
      </c>
      <c r="G26" s="3" t="s">
        <v>430</v>
      </c>
      <c r="H26" s="5">
        <v>44553</v>
      </c>
      <c r="I26" s="5">
        <v>44950</v>
      </c>
      <c r="J26" s="3">
        <v>35000</v>
      </c>
      <c r="K26" s="3">
        <v>6</v>
      </c>
      <c r="L26" s="3">
        <v>9260569132</v>
      </c>
      <c r="M26" s="3" t="s">
        <v>32</v>
      </c>
    </row>
    <row r="27" spans="2:13" ht="14.25" customHeight="1" x14ac:dyDescent="0.35">
      <c r="B27" s="3">
        <v>23</v>
      </c>
      <c r="C27" s="3" t="s">
        <v>146</v>
      </c>
      <c r="D27" s="3">
        <v>114</v>
      </c>
      <c r="E27" s="3" t="s">
        <v>27</v>
      </c>
      <c r="F27" s="4">
        <v>33699</v>
      </c>
      <c r="G27" s="3" t="s">
        <v>29</v>
      </c>
      <c r="H27" s="5">
        <v>44577</v>
      </c>
      <c r="I27" s="5">
        <v>45149</v>
      </c>
      <c r="J27" s="3">
        <v>20000</v>
      </c>
      <c r="K27" s="3">
        <v>3</v>
      </c>
      <c r="L27" s="3">
        <v>9521494464</v>
      </c>
      <c r="M27" s="3" t="s">
        <v>23</v>
      </c>
    </row>
    <row r="28" spans="2:13" ht="14.25" customHeight="1" x14ac:dyDescent="0.35">
      <c r="B28" s="3">
        <v>24</v>
      </c>
      <c r="C28" s="3" t="s">
        <v>148</v>
      </c>
      <c r="D28" s="3">
        <v>115</v>
      </c>
      <c r="E28" s="3" t="s">
        <v>27</v>
      </c>
      <c r="F28" s="4">
        <v>35431</v>
      </c>
      <c r="G28" s="3" t="s">
        <v>430</v>
      </c>
      <c r="H28" s="5">
        <v>44507</v>
      </c>
      <c r="I28" s="5">
        <v>44885</v>
      </c>
      <c r="J28" s="3">
        <v>18000</v>
      </c>
      <c r="K28" s="3">
        <v>7</v>
      </c>
      <c r="L28" s="3">
        <v>9592356344</v>
      </c>
      <c r="M28" s="3" t="s">
        <v>23</v>
      </c>
    </row>
    <row r="29" spans="2:13" ht="14.25" customHeight="1" x14ac:dyDescent="0.35">
      <c r="B29" s="3">
        <v>25</v>
      </c>
      <c r="C29" s="3" t="s">
        <v>149</v>
      </c>
      <c r="D29" s="3">
        <v>116</v>
      </c>
      <c r="E29" s="3" t="s">
        <v>27</v>
      </c>
      <c r="F29" s="4">
        <v>37062</v>
      </c>
      <c r="G29" s="3" t="s">
        <v>430</v>
      </c>
      <c r="H29" s="5">
        <v>44456</v>
      </c>
      <c r="I29" s="5">
        <v>44872</v>
      </c>
      <c r="J29" s="3">
        <v>20000</v>
      </c>
      <c r="K29" s="3">
        <v>10</v>
      </c>
      <c r="L29" s="3">
        <v>9420689442</v>
      </c>
      <c r="M29" s="3" t="s">
        <v>32</v>
      </c>
    </row>
    <row r="30" spans="2:13" ht="14.25" customHeight="1" x14ac:dyDescent="0.35">
      <c r="B30" s="3">
        <v>26</v>
      </c>
      <c r="C30" s="3" t="s">
        <v>150</v>
      </c>
      <c r="D30" s="3">
        <v>117</v>
      </c>
      <c r="E30" s="3" t="s">
        <v>27</v>
      </c>
      <c r="F30" s="4">
        <v>33962</v>
      </c>
      <c r="G30" s="3" t="s">
        <v>46</v>
      </c>
      <c r="H30" s="5">
        <v>44417</v>
      </c>
      <c r="I30" s="5">
        <v>44946</v>
      </c>
      <c r="J30" s="3">
        <v>20000</v>
      </c>
      <c r="K30" s="3">
        <v>10</v>
      </c>
      <c r="L30" s="3">
        <v>9323047053</v>
      </c>
      <c r="M30" s="3" t="s">
        <v>55</v>
      </c>
    </row>
    <row r="31" spans="2:13" ht="14.25" customHeight="1" x14ac:dyDescent="0.35">
      <c r="B31" s="3">
        <v>27</v>
      </c>
      <c r="C31" s="3" t="s">
        <v>151</v>
      </c>
      <c r="D31" s="3">
        <v>118</v>
      </c>
      <c r="E31" s="3" t="s">
        <v>17</v>
      </c>
      <c r="F31" s="4">
        <v>36619</v>
      </c>
      <c r="G31" s="3" t="s">
        <v>46</v>
      </c>
      <c r="H31" s="5">
        <v>44395</v>
      </c>
      <c r="I31" s="5">
        <v>44512</v>
      </c>
      <c r="J31" s="3">
        <v>35000</v>
      </c>
      <c r="K31" s="3">
        <v>7</v>
      </c>
      <c r="L31" s="3">
        <v>9175236256</v>
      </c>
      <c r="M31" s="3" t="s">
        <v>101</v>
      </c>
    </row>
    <row r="32" spans="2:13" ht="14.25" customHeight="1" x14ac:dyDescent="0.35">
      <c r="B32" s="3">
        <v>28</v>
      </c>
      <c r="C32" s="3" t="s">
        <v>153</v>
      </c>
      <c r="D32" s="3">
        <v>119</v>
      </c>
      <c r="E32" s="3" t="s">
        <v>17</v>
      </c>
      <c r="F32" s="4">
        <v>35339</v>
      </c>
      <c r="G32" s="3" t="s">
        <v>46</v>
      </c>
      <c r="H32" s="5">
        <v>44517</v>
      </c>
      <c r="I32" s="5">
        <v>44926</v>
      </c>
      <c r="J32" s="3">
        <v>35000</v>
      </c>
      <c r="K32" s="3">
        <v>6</v>
      </c>
      <c r="L32" s="3">
        <v>9650155772</v>
      </c>
      <c r="M32" s="3" t="s">
        <v>32</v>
      </c>
    </row>
    <row r="33" spans="2:13" ht="14.25" customHeight="1" x14ac:dyDescent="0.35">
      <c r="B33" s="3">
        <v>29</v>
      </c>
      <c r="C33" s="3" t="s">
        <v>154</v>
      </c>
      <c r="D33" s="3">
        <v>110</v>
      </c>
      <c r="E33" s="3" t="s">
        <v>17</v>
      </c>
      <c r="F33" s="4">
        <v>34578</v>
      </c>
      <c r="G33" s="3" t="s">
        <v>18</v>
      </c>
      <c r="H33" s="5">
        <v>44357</v>
      </c>
      <c r="I33" s="5">
        <v>44560</v>
      </c>
      <c r="J33" s="3">
        <v>10000</v>
      </c>
      <c r="K33" s="3">
        <v>7</v>
      </c>
      <c r="L33" s="3">
        <v>9108489803</v>
      </c>
      <c r="M33" s="3" t="s">
        <v>112</v>
      </c>
    </row>
    <row r="34" spans="2:13" ht="14.25" customHeight="1" x14ac:dyDescent="0.35">
      <c r="B34" s="3">
        <v>30</v>
      </c>
      <c r="C34" s="3" t="s">
        <v>156</v>
      </c>
      <c r="D34" s="3">
        <v>111</v>
      </c>
      <c r="E34" s="3" t="s">
        <v>17</v>
      </c>
      <c r="F34" s="4">
        <v>34635</v>
      </c>
      <c r="G34" s="3" t="s">
        <v>46</v>
      </c>
      <c r="H34" s="5">
        <v>44409</v>
      </c>
      <c r="I34" s="5">
        <v>45060</v>
      </c>
      <c r="J34" s="3">
        <v>18000</v>
      </c>
      <c r="K34" s="3">
        <v>5</v>
      </c>
      <c r="L34" s="3">
        <v>9175153983</v>
      </c>
      <c r="M34" s="3" t="s">
        <v>23</v>
      </c>
    </row>
    <row r="35" spans="2:13" ht="14.25" customHeight="1" x14ac:dyDescent="0.35">
      <c r="B35" s="3">
        <v>31</v>
      </c>
      <c r="C35" s="3" t="s">
        <v>157</v>
      </c>
      <c r="D35" s="3">
        <v>112</v>
      </c>
      <c r="E35" s="3" t="s">
        <v>27</v>
      </c>
      <c r="F35" s="4">
        <v>37176</v>
      </c>
      <c r="G35" s="3" t="s">
        <v>430</v>
      </c>
      <c r="H35" s="5">
        <v>44325</v>
      </c>
      <c r="I35" s="5">
        <v>44976</v>
      </c>
      <c r="J35" s="3">
        <v>10000</v>
      </c>
      <c r="K35" s="3">
        <v>3</v>
      </c>
      <c r="L35" s="3">
        <v>9256089954</v>
      </c>
      <c r="M35" s="3" t="s">
        <v>112</v>
      </c>
    </row>
    <row r="36" spans="2:13" ht="14.25" customHeight="1" x14ac:dyDescent="0.35">
      <c r="B36" s="3">
        <v>32</v>
      </c>
      <c r="C36" s="3" t="s">
        <v>158</v>
      </c>
      <c r="D36" s="3">
        <v>113</v>
      </c>
      <c r="E36" s="3" t="s">
        <v>17</v>
      </c>
      <c r="F36" s="4">
        <v>36068</v>
      </c>
      <c r="G36" s="3" t="s">
        <v>430</v>
      </c>
      <c r="H36" s="5">
        <v>44408</v>
      </c>
      <c r="I36" s="5">
        <v>44988</v>
      </c>
      <c r="J36" s="3">
        <v>35000</v>
      </c>
      <c r="K36" s="3">
        <v>4</v>
      </c>
      <c r="L36" s="3">
        <v>9471908056</v>
      </c>
      <c r="M36" s="3" t="s">
        <v>112</v>
      </c>
    </row>
    <row r="37" spans="2:13" ht="14.25" customHeight="1" x14ac:dyDescent="0.35">
      <c r="B37" s="3">
        <v>33</v>
      </c>
      <c r="C37" s="3" t="s">
        <v>159</v>
      </c>
      <c r="D37" s="3">
        <v>114</v>
      </c>
      <c r="E37" s="3" t="s">
        <v>17</v>
      </c>
      <c r="F37" s="4">
        <v>34912</v>
      </c>
      <c r="G37" s="3" t="s">
        <v>29</v>
      </c>
      <c r="H37" s="5">
        <v>44512</v>
      </c>
      <c r="I37" s="5">
        <v>44625</v>
      </c>
      <c r="J37" s="3">
        <v>35000</v>
      </c>
      <c r="K37" s="3">
        <v>7</v>
      </c>
      <c r="L37" s="3">
        <v>9361742681</v>
      </c>
      <c r="M37" s="3" t="s">
        <v>55</v>
      </c>
    </row>
    <row r="38" spans="2:13" ht="14.25" customHeight="1" x14ac:dyDescent="0.35">
      <c r="B38" s="3">
        <v>34</v>
      </c>
      <c r="C38" s="3" t="s">
        <v>162</v>
      </c>
      <c r="D38" s="3">
        <v>115</v>
      </c>
      <c r="E38" s="3" t="s">
        <v>17</v>
      </c>
      <c r="F38" s="4">
        <v>36437</v>
      </c>
      <c r="G38" s="3" t="s">
        <v>46</v>
      </c>
      <c r="H38" s="5">
        <v>44593</v>
      </c>
      <c r="I38" s="5">
        <v>45316</v>
      </c>
      <c r="J38" s="3">
        <v>20000</v>
      </c>
      <c r="K38" s="3">
        <v>6</v>
      </c>
      <c r="L38" s="3">
        <v>9550307866</v>
      </c>
      <c r="M38" s="3" t="s">
        <v>101</v>
      </c>
    </row>
    <row r="39" spans="2:13" ht="14.25" customHeight="1" x14ac:dyDescent="0.35">
      <c r="B39" s="3">
        <v>35</v>
      </c>
      <c r="C39" s="3" t="s">
        <v>164</v>
      </c>
      <c r="D39" s="3">
        <v>116</v>
      </c>
      <c r="E39" s="3" t="s">
        <v>27</v>
      </c>
      <c r="F39" s="4">
        <v>33535</v>
      </c>
      <c r="G39" s="3" t="s">
        <v>18</v>
      </c>
      <c r="H39" s="5">
        <v>44467</v>
      </c>
      <c r="I39" s="5">
        <v>44659</v>
      </c>
      <c r="J39" s="3">
        <v>10000</v>
      </c>
      <c r="K39" s="3">
        <v>7</v>
      </c>
      <c r="L39" s="3">
        <v>9456201256</v>
      </c>
      <c r="M39" s="3" t="s">
        <v>55</v>
      </c>
    </row>
    <row r="40" spans="2:13" ht="14.25" customHeight="1" x14ac:dyDescent="0.35">
      <c r="B40" s="3">
        <v>36</v>
      </c>
      <c r="C40" s="3" t="s">
        <v>166</v>
      </c>
      <c r="D40" s="3">
        <v>117</v>
      </c>
      <c r="E40" s="3" t="s">
        <v>27</v>
      </c>
      <c r="F40" s="4">
        <v>35077</v>
      </c>
      <c r="G40" s="3" t="s">
        <v>430</v>
      </c>
      <c r="H40" s="5">
        <v>44315</v>
      </c>
      <c r="I40" s="5">
        <v>44668</v>
      </c>
      <c r="J40" s="3">
        <v>10000</v>
      </c>
      <c r="K40" s="3">
        <v>2</v>
      </c>
      <c r="L40" s="3">
        <v>9234670550</v>
      </c>
      <c r="M40" s="3" t="s">
        <v>112</v>
      </c>
    </row>
    <row r="41" spans="2:13" ht="14.25" customHeight="1" x14ac:dyDescent="0.35">
      <c r="B41" s="3">
        <v>37</v>
      </c>
      <c r="C41" s="3" t="s">
        <v>167</v>
      </c>
      <c r="D41" s="3">
        <v>118</v>
      </c>
      <c r="E41" s="3" t="s">
        <v>17</v>
      </c>
      <c r="F41" s="4">
        <v>33690</v>
      </c>
      <c r="G41" s="3" t="s">
        <v>29</v>
      </c>
      <c r="H41" s="5">
        <v>44605</v>
      </c>
      <c r="I41" s="5">
        <v>45179</v>
      </c>
      <c r="J41" s="3">
        <v>35000</v>
      </c>
      <c r="K41" s="3">
        <v>9</v>
      </c>
      <c r="L41" s="3">
        <v>9623465455</v>
      </c>
      <c r="M41" s="3" t="s">
        <v>32</v>
      </c>
    </row>
    <row r="42" spans="2:13" ht="14.25" customHeight="1" x14ac:dyDescent="0.35">
      <c r="B42" s="3">
        <v>38</v>
      </c>
      <c r="C42" s="3" t="s">
        <v>168</v>
      </c>
      <c r="D42" s="3">
        <v>119</v>
      </c>
      <c r="E42" s="3" t="s">
        <v>17</v>
      </c>
      <c r="F42" s="4">
        <v>33880</v>
      </c>
      <c r="G42" s="3" t="s">
        <v>29</v>
      </c>
      <c r="H42" s="5">
        <v>44444</v>
      </c>
      <c r="I42" s="5">
        <v>44931</v>
      </c>
      <c r="J42" s="3">
        <v>10000</v>
      </c>
      <c r="K42" s="3">
        <v>8</v>
      </c>
      <c r="L42" s="3">
        <v>9257334815</v>
      </c>
      <c r="M42" s="3" t="s">
        <v>112</v>
      </c>
    </row>
    <row r="43" spans="2:13" ht="14.25" customHeight="1" x14ac:dyDescent="0.35">
      <c r="B43" s="3">
        <v>39</v>
      </c>
      <c r="C43" s="3" t="s">
        <v>170</v>
      </c>
      <c r="D43" s="3">
        <v>120</v>
      </c>
      <c r="E43" s="3" t="s">
        <v>27</v>
      </c>
      <c r="F43" s="4">
        <v>33960</v>
      </c>
      <c r="G43" s="3" t="s">
        <v>46</v>
      </c>
      <c r="H43" s="5">
        <v>44456</v>
      </c>
      <c r="I43" s="5">
        <v>44940</v>
      </c>
      <c r="J43" s="3">
        <v>35000</v>
      </c>
      <c r="K43" s="3">
        <v>10</v>
      </c>
      <c r="L43" s="3">
        <v>9463131191</v>
      </c>
      <c r="M43" s="3" t="s">
        <v>101</v>
      </c>
    </row>
    <row r="44" spans="2:13" ht="14.25" customHeight="1" x14ac:dyDescent="0.35">
      <c r="B44" s="3">
        <v>40</v>
      </c>
      <c r="C44" s="3" t="s">
        <v>171</v>
      </c>
      <c r="D44" s="3">
        <v>121</v>
      </c>
      <c r="E44" s="3" t="s">
        <v>17</v>
      </c>
      <c r="F44" s="4">
        <v>35680</v>
      </c>
      <c r="G44" s="3" t="s">
        <v>29</v>
      </c>
      <c r="H44" s="5">
        <v>44565</v>
      </c>
      <c r="I44" s="5">
        <v>45215</v>
      </c>
      <c r="J44" s="3">
        <v>18000</v>
      </c>
      <c r="K44" s="3">
        <v>3</v>
      </c>
      <c r="L44" s="3">
        <v>9659532373</v>
      </c>
      <c r="M44" s="3" t="s">
        <v>55</v>
      </c>
    </row>
    <row r="45" spans="2:13" ht="14.25" customHeight="1" x14ac:dyDescent="0.35"/>
    <row r="46" spans="2:13" ht="14.25" customHeight="1" x14ac:dyDescent="0.35"/>
    <row r="47" spans="2:13" ht="14.25" customHeight="1" x14ac:dyDescent="0.35"/>
    <row r="48" spans="2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N8" sqref="N8"/>
    </sheetView>
  </sheetViews>
  <sheetFormatPr defaultColWidth="14.453125" defaultRowHeight="15" customHeight="1" x14ac:dyDescent="0.35"/>
  <cols>
    <col min="1" max="1" width="8.7265625" customWidth="1"/>
    <col min="2" max="2" width="12.453125" customWidth="1"/>
    <col min="3" max="9" width="8.7265625" customWidth="1"/>
    <col min="10" max="10" width="6.1796875" bestFit="1" customWidth="1"/>
    <col min="11" max="26" width="8.7265625" customWidth="1"/>
  </cols>
  <sheetData>
    <row r="1" spans="1:15" ht="14.25" customHeight="1" x14ac:dyDescent="0.35">
      <c r="A1" s="106" t="s">
        <v>3</v>
      </c>
      <c r="B1" s="107"/>
      <c r="C1" s="107"/>
      <c r="D1" s="107"/>
      <c r="E1" s="107"/>
      <c r="F1" s="107"/>
      <c r="G1" s="107"/>
      <c r="H1" s="107"/>
      <c r="I1" s="108"/>
    </row>
    <row r="2" spans="1:15" ht="14.25" customHeight="1" x14ac:dyDescent="0.35">
      <c r="A2" s="109" t="s">
        <v>19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14.25" customHeight="1" x14ac:dyDescent="0.35">
      <c r="A3" s="6" t="s">
        <v>36</v>
      </c>
      <c r="B3" s="6" t="s">
        <v>40</v>
      </c>
    </row>
    <row r="4" spans="1:15" ht="14.25" customHeight="1" x14ac:dyDescent="0.35">
      <c r="A4" s="6" t="s">
        <v>41</v>
      </c>
      <c r="B4" s="6" t="s">
        <v>43</v>
      </c>
    </row>
    <row r="5" spans="1:15" ht="14.25" customHeight="1" x14ac:dyDescent="0.35"/>
    <row r="6" spans="1:15" ht="14.25" customHeight="1" x14ac:dyDescent="0.35"/>
    <row r="7" spans="1:15" ht="14.25" customHeight="1" x14ac:dyDescent="0.35">
      <c r="A7" s="7" t="s">
        <v>49</v>
      </c>
      <c r="B7" s="8" t="s">
        <v>52</v>
      </c>
      <c r="C7" s="8" t="s">
        <v>53</v>
      </c>
      <c r="D7" s="8" t="s">
        <v>57</v>
      </c>
      <c r="E7" s="8" t="s">
        <v>58</v>
      </c>
      <c r="F7" s="8" t="s">
        <v>60</v>
      </c>
      <c r="G7" s="8" t="s">
        <v>61</v>
      </c>
      <c r="H7" s="8" t="s">
        <v>62</v>
      </c>
      <c r="I7" s="8" t="s">
        <v>63</v>
      </c>
      <c r="J7" s="8" t="s">
        <v>64</v>
      </c>
      <c r="K7" s="8" t="s">
        <v>65</v>
      </c>
      <c r="L7" s="8" t="s">
        <v>66</v>
      </c>
      <c r="M7" s="8" t="s">
        <v>67</v>
      </c>
      <c r="N7" s="12" t="s">
        <v>68</v>
      </c>
    </row>
    <row r="8" spans="1:15" ht="14.25" customHeight="1" x14ac:dyDescent="0.35">
      <c r="A8" s="9">
        <v>1</v>
      </c>
      <c r="B8" s="10" t="s">
        <v>71</v>
      </c>
      <c r="C8" s="10">
        <v>50</v>
      </c>
      <c r="D8" s="10">
        <v>65</v>
      </c>
      <c r="E8" s="10">
        <v>85</v>
      </c>
      <c r="F8" s="10">
        <v>45</v>
      </c>
      <c r="G8" s="10">
        <v>95</v>
      </c>
      <c r="H8" s="10">
        <v>59</v>
      </c>
      <c r="I8" s="18">
        <f>SUM(C8:H8)</f>
        <v>399</v>
      </c>
      <c r="J8" s="20">
        <f>I8/600</f>
        <v>0.66500000000000004</v>
      </c>
      <c r="K8" s="18">
        <f>MAX(C8:H8)</f>
        <v>95</v>
      </c>
      <c r="L8" s="18">
        <f>MIN(C8:H8)</f>
        <v>45</v>
      </c>
      <c r="M8" s="22">
        <f>AVERAGE(C8:H8)</f>
        <v>66.5</v>
      </c>
      <c r="N8" s="25" t="str">
        <f>IF(J8&gt;=35%, "pass","fail")</f>
        <v>pass</v>
      </c>
    </row>
    <row r="9" spans="1:15" ht="14.25" customHeight="1" x14ac:dyDescent="0.35">
      <c r="A9" s="16">
        <v>2</v>
      </c>
      <c r="B9" s="19" t="s">
        <v>83</v>
      </c>
      <c r="C9" s="19">
        <v>77</v>
      </c>
      <c r="D9" s="19">
        <v>42</v>
      </c>
      <c r="E9" s="19">
        <v>51</v>
      </c>
      <c r="F9" s="19">
        <v>82</v>
      </c>
      <c r="G9" s="19">
        <v>99</v>
      </c>
      <c r="H9" s="19">
        <v>50</v>
      </c>
      <c r="I9" s="18">
        <f t="shared" ref="I9:I19" si="0">SUM(C9:H9)</f>
        <v>401</v>
      </c>
      <c r="J9" s="20">
        <f t="shared" ref="J9:J19" si="1">I9/600</f>
        <v>0.66833333333333333</v>
      </c>
      <c r="K9" s="18">
        <f t="shared" ref="K9:K19" si="2">MAX(C9:H9)</f>
        <v>99</v>
      </c>
      <c r="L9" s="18">
        <f t="shared" ref="L9:L19" si="3">MIN(C9:H9)</f>
        <v>42</v>
      </c>
      <c r="M9" s="22">
        <f t="shared" ref="M9:M19" si="4">AVERAGE(C9:H9)</f>
        <v>66.833333333333329</v>
      </c>
      <c r="N9" s="25" t="str">
        <f t="shared" ref="N9:N19" si="5">IF(J9&gt;=35%, "pass","fail")</f>
        <v>pass</v>
      </c>
    </row>
    <row r="10" spans="1:15" ht="14.25" customHeight="1" x14ac:dyDescent="0.35">
      <c r="A10" s="16">
        <v>3</v>
      </c>
      <c r="B10" s="19" t="s">
        <v>86</v>
      </c>
      <c r="C10" s="19">
        <v>74</v>
      </c>
      <c r="D10" s="19">
        <v>29</v>
      </c>
      <c r="E10" s="19">
        <v>96</v>
      </c>
      <c r="F10" s="19">
        <v>27</v>
      </c>
      <c r="G10" s="19">
        <v>100</v>
      </c>
      <c r="H10" s="19">
        <v>53</v>
      </c>
      <c r="I10" s="18">
        <f t="shared" si="0"/>
        <v>379</v>
      </c>
      <c r="J10" s="20">
        <f t="shared" si="1"/>
        <v>0.63166666666666671</v>
      </c>
      <c r="K10" s="18">
        <f t="shared" si="2"/>
        <v>100</v>
      </c>
      <c r="L10" s="18">
        <f t="shared" si="3"/>
        <v>27</v>
      </c>
      <c r="M10" s="22">
        <f t="shared" si="4"/>
        <v>63.166666666666664</v>
      </c>
      <c r="N10" s="25" t="str">
        <f t="shared" si="5"/>
        <v>pass</v>
      </c>
    </row>
    <row r="11" spans="1:15" ht="14.25" customHeight="1" x14ac:dyDescent="0.35">
      <c r="A11" s="16">
        <v>4</v>
      </c>
      <c r="B11" s="19" t="s">
        <v>88</v>
      </c>
      <c r="C11" s="19">
        <v>48</v>
      </c>
      <c r="D11" s="19">
        <v>64</v>
      </c>
      <c r="E11" s="19">
        <v>77</v>
      </c>
      <c r="F11" s="19">
        <v>82</v>
      </c>
      <c r="G11" s="19">
        <v>80</v>
      </c>
      <c r="H11" s="19">
        <v>75</v>
      </c>
      <c r="I11" s="18">
        <f t="shared" si="0"/>
        <v>426</v>
      </c>
      <c r="J11" s="20">
        <f t="shared" si="1"/>
        <v>0.71</v>
      </c>
      <c r="K11" s="18">
        <f t="shared" si="2"/>
        <v>82</v>
      </c>
      <c r="L11" s="18">
        <f t="shared" si="3"/>
        <v>48</v>
      </c>
      <c r="M11" s="22">
        <f t="shared" si="4"/>
        <v>71</v>
      </c>
      <c r="N11" s="25" t="str">
        <f t="shared" si="5"/>
        <v>pass</v>
      </c>
    </row>
    <row r="12" spans="1:15" ht="14.25" customHeight="1" x14ac:dyDescent="0.35">
      <c r="A12" s="16">
        <v>5</v>
      </c>
      <c r="B12" s="19" t="s">
        <v>94</v>
      </c>
      <c r="C12" s="19">
        <v>30</v>
      </c>
      <c r="D12" s="19">
        <v>31</v>
      </c>
      <c r="E12" s="19">
        <v>53</v>
      </c>
      <c r="F12" s="19">
        <v>35</v>
      </c>
      <c r="G12" s="19">
        <v>75</v>
      </c>
      <c r="H12" s="19">
        <v>79</v>
      </c>
      <c r="I12" s="18">
        <f t="shared" si="0"/>
        <v>303</v>
      </c>
      <c r="J12" s="20">
        <f t="shared" si="1"/>
        <v>0.505</v>
      </c>
      <c r="K12" s="18">
        <f t="shared" si="2"/>
        <v>79</v>
      </c>
      <c r="L12" s="18">
        <f t="shared" si="3"/>
        <v>30</v>
      </c>
      <c r="M12" s="22">
        <f t="shared" si="4"/>
        <v>50.5</v>
      </c>
      <c r="N12" s="25" t="str">
        <f t="shared" si="5"/>
        <v>pass</v>
      </c>
    </row>
    <row r="13" spans="1:15" ht="14.25" customHeight="1" x14ac:dyDescent="0.35">
      <c r="A13" s="16">
        <v>6</v>
      </c>
      <c r="B13" s="19" t="s">
        <v>97</v>
      </c>
      <c r="C13" s="19">
        <v>65</v>
      </c>
      <c r="D13" s="19">
        <v>67</v>
      </c>
      <c r="E13" s="19">
        <v>97</v>
      </c>
      <c r="F13" s="19">
        <v>70</v>
      </c>
      <c r="G13" s="19">
        <v>61</v>
      </c>
      <c r="H13" s="19">
        <v>86</v>
      </c>
      <c r="I13" s="18">
        <f t="shared" si="0"/>
        <v>446</v>
      </c>
      <c r="J13" s="20">
        <f t="shared" si="1"/>
        <v>0.74333333333333329</v>
      </c>
      <c r="K13" s="18">
        <f t="shared" si="2"/>
        <v>97</v>
      </c>
      <c r="L13" s="18">
        <f t="shared" si="3"/>
        <v>61</v>
      </c>
      <c r="M13" s="22">
        <f t="shared" si="4"/>
        <v>74.333333333333329</v>
      </c>
      <c r="N13" s="25" t="str">
        <f t="shared" si="5"/>
        <v>pass</v>
      </c>
    </row>
    <row r="14" spans="1:15" ht="14.25" customHeight="1" x14ac:dyDescent="0.35">
      <c r="A14" s="16">
        <v>7</v>
      </c>
      <c r="B14" s="19" t="s">
        <v>102</v>
      </c>
      <c r="C14" s="19">
        <v>43</v>
      </c>
      <c r="D14" s="19">
        <v>93</v>
      </c>
      <c r="E14" s="19">
        <v>84</v>
      </c>
      <c r="F14" s="19">
        <v>51</v>
      </c>
      <c r="G14" s="19">
        <v>90</v>
      </c>
      <c r="H14" s="19">
        <v>40</v>
      </c>
      <c r="I14" s="18">
        <f t="shared" si="0"/>
        <v>401</v>
      </c>
      <c r="J14" s="20">
        <f t="shared" si="1"/>
        <v>0.66833333333333333</v>
      </c>
      <c r="K14" s="18">
        <f t="shared" si="2"/>
        <v>93</v>
      </c>
      <c r="L14" s="18">
        <f t="shared" si="3"/>
        <v>40</v>
      </c>
      <c r="M14" s="22">
        <f t="shared" si="4"/>
        <v>66.833333333333329</v>
      </c>
      <c r="N14" s="25" t="str">
        <f t="shared" si="5"/>
        <v>pass</v>
      </c>
    </row>
    <row r="15" spans="1:15" ht="14.25" customHeight="1" x14ac:dyDescent="0.35">
      <c r="A15" s="16">
        <v>8</v>
      </c>
      <c r="B15" s="19" t="s">
        <v>108</v>
      </c>
      <c r="C15" s="19">
        <v>83</v>
      </c>
      <c r="D15" s="19">
        <v>75</v>
      </c>
      <c r="E15" s="19">
        <v>82</v>
      </c>
      <c r="F15" s="19">
        <v>27</v>
      </c>
      <c r="G15" s="19">
        <v>30</v>
      </c>
      <c r="H15" s="19">
        <v>37</v>
      </c>
      <c r="I15" s="18">
        <f t="shared" si="0"/>
        <v>334</v>
      </c>
      <c r="J15" s="20">
        <f t="shared" si="1"/>
        <v>0.55666666666666664</v>
      </c>
      <c r="K15" s="18">
        <f t="shared" si="2"/>
        <v>83</v>
      </c>
      <c r="L15" s="18">
        <f t="shared" si="3"/>
        <v>27</v>
      </c>
      <c r="M15" s="22">
        <f t="shared" si="4"/>
        <v>55.666666666666664</v>
      </c>
      <c r="N15" s="25" t="str">
        <f t="shared" si="5"/>
        <v>pass</v>
      </c>
    </row>
    <row r="16" spans="1:15" ht="14.25" customHeight="1" x14ac:dyDescent="0.35">
      <c r="A16" s="16">
        <v>9</v>
      </c>
      <c r="B16" s="19" t="s">
        <v>113</v>
      </c>
      <c r="C16" s="19">
        <v>68</v>
      </c>
      <c r="D16" s="19">
        <v>90</v>
      </c>
      <c r="E16" s="19">
        <v>78</v>
      </c>
      <c r="F16" s="19">
        <v>40</v>
      </c>
      <c r="G16" s="19">
        <v>76</v>
      </c>
      <c r="H16" s="19">
        <v>41</v>
      </c>
      <c r="I16" s="18">
        <f t="shared" si="0"/>
        <v>393</v>
      </c>
      <c r="J16" s="20">
        <f t="shared" si="1"/>
        <v>0.65500000000000003</v>
      </c>
      <c r="K16" s="18">
        <f t="shared" si="2"/>
        <v>90</v>
      </c>
      <c r="L16" s="18">
        <f t="shared" si="3"/>
        <v>40</v>
      </c>
      <c r="M16" s="22">
        <f t="shared" si="4"/>
        <v>65.5</v>
      </c>
      <c r="N16" s="25" t="str">
        <f t="shared" si="5"/>
        <v>pass</v>
      </c>
    </row>
    <row r="17" spans="1:14" ht="14.25" customHeight="1" x14ac:dyDescent="0.35">
      <c r="A17" s="16">
        <v>10</v>
      </c>
      <c r="B17" s="19" t="s">
        <v>117</v>
      </c>
      <c r="C17" s="19">
        <v>95</v>
      </c>
      <c r="D17" s="19">
        <v>37</v>
      </c>
      <c r="E17" s="19">
        <v>53</v>
      </c>
      <c r="F17" s="19">
        <v>76</v>
      </c>
      <c r="G17" s="19">
        <v>78</v>
      </c>
      <c r="H17" s="19">
        <v>37</v>
      </c>
      <c r="I17" s="18">
        <f t="shared" si="0"/>
        <v>376</v>
      </c>
      <c r="J17" s="20">
        <f t="shared" si="1"/>
        <v>0.62666666666666671</v>
      </c>
      <c r="K17" s="18">
        <f t="shared" si="2"/>
        <v>95</v>
      </c>
      <c r="L17" s="18">
        <f t="shared" si="3"/>
        <v>37</v>
      </c>
      <c r="M17" s="22">
        <f t="shared" si="4"/>
        <v>62.666666666666664</v>
      </c>
      <c r="N17" s="25" t="str">
        <f t="shared" si="5"/>
        <v>pass</v>
      </c>
    </row>
    <row r="18" spans="1:14" ht="14.25" customHeight="1" x14ac:dyDescent="0.35">
      <c r="A18" s="16">
        <v>11</v>
      </c>
      <c r="B18" s="19" t="s">
        <v>121</v>
      </c>
      <c r="C18" s="19">
        <v>99</v>
      </c>
      <c r="D18" s="19">
        <v>81</v>
      </c>
      <c r="E18" s="19">
        <v>32</v>
      </c>
      <c r="F18" s="19">
        <v>59</v>
      </c>
      <c r="G18" s="19">
        <v>75</v>
      </c>
      <c r="H18" s="19">
        <v>53</v>
      </c>
      <c r="I18" s="18">
        <f t="shared" si="0"/>
        <v>399</v>
      </c>
      <c r="J18" s="20">
        <f t="shared" si="1"/>
        <v>0.66500000000000004</v>
      </c>
      <c r="K18" s="18">
        <f t="shared" si="2"/>
        <v>99</v>
      </c>
      <c r="L18" s="18">
        <f t="shared" si="3"/>
        <v>32</v>
      </c>
      <c r="M18" s="22">
        <f t="shared" si="4"/>
        <v>66.5</v>
      </c>
      <c r="N18" s="25" t="str">
        <f t="shared" si="5"/>
        <v>pass</v>
      </c>
    </row>
    <row r="19" spans="1:14" ht="14.25" customHeight="1" x14ac:dyDescent="0.35">
      <c r="A19" s="29">
        <v>12</v>
      </c>
      <c r="B19" s="30" t="s">
        <v>129</v>
      </c>
      <c r="C19" s="30">
        <v>10</v>
      </c>
      <c r="D19" s="30">
        <v>15</v>
      </c>
      <c r="E19" s="30">
        <v>20</v>
      </c>
      <c r="F19" s="30">
        <v>25</v>
      </c>
      <c r="G19" s="30">
        <v>15</v>
      </c>
      <c r="H19" s="30">
        <v>68</v>
      </c>
      <c r="I19" s="18">
        <f t="shared" si="0"/>
        <v>153</v>
      </c>
      <c r="J19" s="20">
        <f t="shared" si="1"/>
        <v>0.255</v>
      </c>
      <c r="K19" s="18">
        <f t="shared" si="2"/>
        <v>68</v>
      </c>
      <c r="L19" s="18">
        <f t="shared" si="3"/>
        <v>10</v>
      </c>
      <c r="M19" s="22">
        <f t="shared" si="4"/>
        <v>25.5</v>
      </c>
      <c r="N19" s="25" t="str">
        <f t="shared" si="5"/>
        <v>fail</v>
      </c>
    </row>
    <row r="20" spans="1:14" ht="14.25" customHeight="1" x14ac:dyDescent="0.35"/>
    <row r="21" spans="1:14" ht="14.25" customHeight="1" x14ac:dyDescent="0.35"/>
    <row r="22" spans="1:14" ht="14.25" customHeight="1" x14ac:dyDescent="0.35"/>
    <row r="23" spans="1:14" ht="14.25" customHeight="1" x14ac:dyDescent="0.35"/>
    <row r="24" spans="1:14" ht="14.25" customHeight="1" x14ac:dyDescent="0.35"/>
    <row r="25" spans="1:14" ht="14.25" customHeight="1" x14ac:dyDescent="0.35"/>
    <row r="26" spans="1:14" ht="14.25" customHeight="1" x14ac:dyDescent="0.35"/>
    <row r="27" spans="1:14" ht="14.25" customHeight="1" x14ac:dyDescent="0.35"/>
    <row r="28" spans="1:14" ht="14.25" customHeight="1" x14ac:dyDescent="0.35"/>
    <row r="29" spans="1:14" ht="14.25" customHeight="1" x14ac:dyDescent="0.35"/>
    <row r="30" spans="1:14" ht="14.25" customHeight="1" x14ac:dyDescent="0.35"/>
    <row r="31" spans="1:14" ht="14.25" customHeight="1" x14ac:dyDescent="0.35"/>
    <row r="32" spans="1:1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I1"/>
    <mergeCell ref="A2:O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selection activeCell="E12" sqref="E12"/>
    </sheetView>
  </sheetViews>
  <sheetFormatPr defaultColWidth="14.453125" defaultRowHeight="15" customHeight="1" x14ac:dyDescent="0.35"/>
  <cols>
    <col min="1" max="1" width="8.7265625" customWidth="1"/>
    <col min="2" max="2" width="5.453125" customWidth="1"/>
    <col min="3" max="3" width="12" customWidth="1"/>
    <col min="4" max="4" width="31.81640625" customWidth="1"/>
    <col min="5" max="5" width="12.08984375" customWidth="1"/>
    <col min="6" max="26" width="8.7265625" customWidth="1"/>
  </cols>
  <sheetData>
    <row r="1" spans="1:9" ht="14.25" customHeight="1" x14ac:dyDescent="0.35">
      <c r="A1" s="110" t="s">
        <v>1</v>
      </c>
      <c r="B1" s="107"/>
      <c r="C1" s="107"/>
      <c r="D1" s="107"/>
      <c r="E1" s="107"/>
      <c r="F1" s="107"/>
      <c r="G1" s="107"/>
      <c r="H1" s="107"/>
      <c r="I1" s="108"/>
    </row>
    <row r="2" spans="1:9" ht="14.25" customHeight="1" x14ac:dyDescent="0.35"/>
    <row r="3" spans="1:9" ht="14.25" customHeight="1" x14ac:dyDescent="0.35">
      <c r="C3" s="1" t="s">
        <v>20</v>
      </c>
    </row>
    <row r="4" spans="1:9" ht="14.25" customHeight="1" x14ac:dyDescent="0.35">
      <c r="C4" s="1" t="s">
        <v>22</v>
      </c>
      <c r="D4" s="1" t="s">
        <v>24</v>
      </c>
    </row>
    <row r="5" spans="1:9" ht="14.25" customHeight="1" x14ac:dyDescent="0.35">
      <c r="C5" s="1" t="s">
        <v>26</v>
      </c>
      <c r="D5" s="1" t="s">
        <v>28</v>
      </c>
    </row>
    <row r="6" spans="1:9" ht="14.25" customHeight="1" x14ac:dyDescent="0.35">
      <c r="C6" s="1" t="s">
        <v>30</v>
      </c>
      <c r="D6" s="1" t="s">
        <v>31</v>
      </c>
    </row>
    <row r="7" spans="1:9" ht="14.25" customHeight="1" x14ac:dyDescent="0.35">
      <c r="C7" s="1" t="s">
        <v>33</v>
      </c>
      <c r="D7" s="1" t="s">
        <v>34</v>
      </c>
    </row>
    <row r="8" spans="1:9" ht="14.25" customHeight="1" x14ac:dyDescent="0.35"/>
    <row r="9" spans="1:9" ht="14.25" customHeight="1" x14ac:dyDescent="0.35">
      <c r="B9" s="7" t="s">
        <v>38</v>
      </c>
      <c r="C9" s="8" t="s">
        <v>42</v>
      </c>
      <c r="D9" s="8" t="s">
        <v>45</v>
      </c>
      <c r="E9" s="8" t="s">
        <v>47</v>
      </c>
    </row>
    <row r="10" spans="1:9" ht="14.25" customHeight="1" x14ac:dyDescent="0.35">
      <c r="B10" s="9">
        <v>1</v>
      </c>
      <c r="C10" s="10">
        <v>65</v>
      </c>
      <c r="D10" s="11" t="s">
        <v>54</v>
      </c>
      <c r="E10" s="13" t="str">
        <f>_xlfn.IFS(C10&gt;=60,"old",AND(C10&gt;=30,C10&lt;=59),"middle",AND(C10&gt;=18,C10&lt;=29),"young",C10&lt;18,"child")</f>
        <v>old</v>
      </c>
    </row>
    <row r="11" spans="1:9" ht="14.25" customHeight="1" x14ac:dyDescent="0.35">
      <c r="B11" s="16">
        <v>2</v>
      </c>
      <c r="C11" s="19">
        <v>67</v>
      </c>
      <c r="D11" s="21" t="s">
        <v>73</v>
      </c>
      <c r="E11" s="13" t="str">
        <f t="shared" ref="E11:E19" si="0">_xlfn.IFS(C11&gt;=60,"old",AND(C11&gt;=30,C11&lt;=59),"middle",AND(C11&gt;=18,C11&lt;=29),"young",C11&lt;18,"child")</f>
        <v>old</v>
      </c>
    </row>
    <row r="12" spans="1:9" ht="14.25" customHeight="1" x14ac:dyDescent="0.35">
      <c r="B12" s="16">
        <v>3</v>
      </c>
      <c r="C12" s="19">
        <v>25</v>
      </c>
      <c r="D12" s="21" t="s">
        <v>74</v>
      </c>
      <c r="E12" s="13" t="str">
        <f>_xlfn.IFS(C12&gt;=60,"old",AND(C12&gt;=30,C12&lt;=59),"middle",AND(C12&gt;=18,C12&lt;=29),"young",C12&lt;18,"child")</f>
        <v>young</v>
      </c>
    </row>
    <row r="13" spans="1:9" ht="14.25" customHeight="1" x14ac:dyDescent="0.35">
      <c r="B13" s="16">
        <v>4</v>
      </c>
      <c r="C13" s="19">
        <v>45</v>
      </c>
      <c r="D13" s="21" t="s">
        <v>75</v>
      </c>
      <c r="E13" s="13" t="str">
        <f t="shared" si="0"/>
        <v>middle</v>
      </c>
    </row>
    <row r="14" spans="1:9" ht="14.25" customHeight="1" x14ac:dyDescent="0.35">
      <c r="B14" s="16">
        <v>5</v>
      </c>
      <c r="C14" s="19">
        <v>15</v>
      </c>
      <c r="D14" s="21" t="s">
        <v>76</v>
      </c>
      <c r="E14" s="13" t="str">
        <f t="shared" si="0"/>
        <v>child</v>
      </c>
    </row>
    <row r="15" spans="1:9" ht="14.25" customHeight="1" x14ac:dyDescent="0.35">
      <c r="B15" s="16">
        <v>6</v>
      </c>
      <c r="C15" s="19">
        <v>80</v>
      </c>
      <c r="D15" s="21" t="s">
        <v>77</v>
      </c>
      <c r="E15" s="13" t="str">
        <f t="shared" si="0"/>
        <v>old</v>
      </c>
    </row>
    <row r="16" spans="1:9" ht="14.25" customHeight="1" x14ac:dyDescent="0.35">
      <c r="B16" s="16">
        <v>7</v>
      </c>
      <c r="C16" s="19">
        <v>40</v>
      </c>
      <c r="D16" s="21" t="s">
        <v>79</v>
      </c>
      <c r="E16" s="13" t="str">
        <f t="shared" si="0"/>
        <v>middle</v>
      </c>
    </row>
    <row r="17" spans="2:5" ht="14.25" customHeight="1" x14ac:dyDescent="0.35">
      <c r="B17" s="16">
        <v>8</v>
      </c>
      <c r="C17" s="19">
        <v>17</v>
      </c>
      <c r="D17" s="21" t="s">
        <v>81</v>
      </c>
      <c r="E17" s="13" t="str">
        <f t="shared" si="0"/>
        <v>child</v>
      </c>
    </row>
    <row r="18" spans="2:5" ht="14.25" customHeight="1" x14ac:dyDescent="0.35">
      <c r="B18" s="16">
        <v>9</v>
      </c>
      <c r="C18" s="19">
        <v>95</v>
      </c>
      <c r="D18" s="21" t="s">
        <v>82</v>
      </c>
      <c r="E18" s="13" t="str">
        <f t="shared" si="0"/>
        <v>old</v>
      </c>
    </row>
    <row r="19" spans="2:5" ht="14.25" customHeight="1" x14ac:dyDescent="0.35">
      <c r="B19" s="16">
        <v>10</v>
      </c>
      <c r="C19" s="19">
        <v>22</v>
      </c>
      <c r="D19" s="21" t="s">
        <v>84</v>
      </c>
      <c r="E19" s="13" t="str">
        <f t="shared" si="0"/>
        <v>young</v>
      </c>
    </row>
    <row r="20" spans="2:5" ht="14.25" customHeight="1" x14ac:dyDescent="0.35"/>
    <row r="21" spans="2:5" ht="14.25" customHeight="1" x14ac:dyDescent="0.35"/>
    <row r="22" spans="2:5" ht="14.25" customHeight="1" x14ac:dyDescent="0.35"/>
    <row r="23" spans="2:5" ht="14.25" customHeight="1" x14ac:dyDescent="0.35"/>
    <row r="24" spans="2:5" ht="14.25" customHeight="1" x14ac:dyDescent="0.35"/>
    <row r="25" spans="2:5" ht="14.25" customHeight="1" x14ac:dyDescent="0.35"/>
    <row r="26" spans="2:5" ht="14.25" customHeight="1" x14ac:dyDescent="0.35"/>
    <row r="27" spans="2:5" ht="14.25" customHeight="1" x14ac:dyDescent="0.35"/>
    <row r="28" spans="2:5" ht="14.25" customHeight="1" x14ac:dyDescent="0.35"/>
    <row r="29" spans="2:5" ht="14.25" customHeight="1" x14ac:dyDescent="0.35"/>
    <row r="30" spans="2:5" ht="14.25" customHeight="1" x14ac:dyDescent="0.35"/>
    <row r="31" spans="2:5" ht="14.25" customHeight="1" x14ac:dyDescent="0.35"/>
    <row r="32" spans="2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H5" sqref="H5:H22"/>
    </sheetView>
  </sheetViews>
  <sheetFormatPr defaultColWidth="14.453125" defaultRowHeight="15" customHeight="1" x14ac:dyDescent="0.35"/>
  <cols>
    <col min="1" max="1" width="8.7265625" customWidth="1"/>
    <col min="2" max="2" width="17.453125" customWidth="1"/>
    <col min="3" max="3" width="24.08984375" customWidth="1"/>
    <col min="4" max="4" width="8.81640625" customWidth="1"/>
    <col min="5" max="5" width="8.7265625" customWidth="1"/>
    <col min="6" max="6" width="17.453125" customWidth="1"/>
    <col min="7" max="7" width="12.54296875" customWidth="1"/>
    <col min="8" max="8" width="10.453125" customWidth="1"/>
    <col min="9" max="26" width="8.7265625" customWidth="1"/>
  </cols>
  <sheetData>
    <row r="1" spans="1:11" ht="14.25" customHeight="1" x14ac:dyDescent="0.35">
      <c r="A1" s="110" t="s">
        <v>4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</row>
    <row r="2" spans="1:11" ht="14.25" customHeight="1" x14ac:dyDescent="0.35"/>
    <row r="3" spans="1:11" ht="14.25" customHeight="1" x14ac:dyDescent="0.35"/>
    <row r="4" spans="1:11" ht="14.25" customHeight="1" x14ac:dyDescent="0.35">
      <c r="B4" s="111" t="s">
        <v>21</v>
      </c>
      <c r="C4" s="112"/>
      <c r="D4" s="113"/>
      <c r="F4" s="7" t="s">
        <v>48</v>
      </c>
      <c r="G4" s="8" t="s">
        <v>51</v>
      </c>
      <c r="H4" s="12" t="s">
        <v>56</v>
      </c>
    </row>
    <row r="5" spans="1:11" ht="14.25" customHeight="1" x14ac:dyDescent="0.35">
      <c r="B5" s="14" t="s">
        <v>48</v>
      </c>
      <c r="C5" s="15" t="s">
        <v>69</v>
      </c>
      <c r="D5" s="12" t="s">
        <v>70</v>
      </c>
      <c r="F5" s="17" t="s">
        <v>72</v>
      </c>
      <c r="G5" s="23">
        <f ca="1">SUMIF(B5:D303,F5,D5:D303)</f>
        <v>50000</v>
      </c>
      <c r="H5" s="24">
        <f>COUNTIF(B5:D303,F5)</f>
        <v>1</v>
      </c>
    </row>
    <row r="6" spans="1:11" ht="14.25" customHeight="1" x14ac:dyDescent="0.35">
      <c r="B6" s="17" t="s">
        <v>78</v>
      </c>
      <c r="C6" s="11" t="s">
        <v>80</v>
      </c>
      <c r="D6" s="26">
        <v>50000</v>
      </c>
      <c r="F6" s="27" t="s">
        <v>85</v>
      </c>
      <c r="G6" s="23">
        <f t="shared" ref="G6:G22" ca="1" si="0">SUMIF(B6:D304,F6,D6:D304)</f>
        <v>500000</v>
      </c>
      <c r="H6" s="24">
        <f t="shared" ref="H6:H22" si="1">COUNTIF(B6:D304,F6)</f>
        <v>1</v>
      </c>
    </row>
    <row r="7" spans="1:11" ht="14.25" customHeight="1" x14ac:dyDescent="0.35">
      <c r="B7" s="27" t="s">
        <v>78</v>
      </c>
      <c r="C7" s="21" t="s">
        <v>87</v>
      </c>
      <c r="D7" s="28">
        <v>195000</v>
      </c>
      <c r="F7" s="27" t="s">
        <v>89</v>
      </c>
      <c r="G7" s="23">
        <f t="shared" ca="1" si="0"/>
        <v>9964844</v>
      </c>
      <c r="H7" s="24">
        <f t="shared" si="1"/>
        <v>18</v>
      </c>
    </row>
    <row r="8" spans="1:11" ht="14.25" customHeight="1" x14ac:dyDescent="0.35">
      <c r="B8" s="27" t="s">
        <v>78</v>
      </c>
      <c r="C8" s="21" t="s">
        <v>90</v>
      </c>
      <c r="D8" s="28">
        <v>50000</v>
      </c>
      <c r="F8" s="27" t="s">
        <v>91</v>
      </c>
      <c r="G8" s="23">
        <f t="shared" ca="1" si="0"/>
        <v>9825000</v>
      </c>
      <c r="H8" s="24">
        <f t="shared" si="1"/>
        <v>26</v>
      </c>
    </row>
    <row r="9" spans="1:11" ht="14.25" customHeight="1" x14ac:dyDescent="0.35">
      <c r="B9" s="27" t="s">
        <v>92</v>
      </c>
      <c r="C9" s="21" t="s">
        <v>93</v>
      </c>
      <c r="D9" s="28">
        <v>1000000</v>
      </c>
      <c r="F9" s="27" t="s">
        <v>95</v>
      </c>
      <c r="G9" s="23">
        <f t="shared" ca="1" si="0"/>
        <v>1300000</v>
      </c>
      <c r="H9" s="24">
        <f t="shared" si="1"/>
        <v>11</v>
      </c>
    </row>
    <row r="10" spans="1:11" ht="14.25" customHeight="1" x14ac:dyDescent="0.35">
      <c r="B10" s="27" t="s">
        <v>72</v>
      </c>
      <c r="C10" s="21" t="s">
        <v>96</v>
      </c>
      <c r="D10" s="28">
        <v>50000</v>
      </c>
      <c r="F10" s="27" t="s">
        <v>98</v>
      </c>
      <c r="G10" s="23">
        <f t="shared" ca="1" si="0"/>
        <v>440000</v>
      </c>
      <c r="H10" s="24">
        <f t="shared" si="1"/>
        <v>4</v>
      </c>
    </row>
    <row r="11" spans="1:11" ht="14.25" customHeight="1" x14ac:dyDescent="0.35">
      <c r="B11" s="27" t="s">
        <v>99</v>
      </c>
      <c r="C11" s="21" t="s">
        <v>100</v>
      </c>
      <c r="D11" s="28">
        <v>100100</v>
      </c>
      <c r="F11" s="27" t="s">
        <v>78</v>
      </c>
      <c r="G11" s="23">
        <f t="shared" ca="1" si="0"/>
        <v>25274300</v>
      </c>
      <c r="H11" s="24">
        <f t="shared" si="1"/>
        <v>38</v>
      </c>
    </row>
    <row r="12" spans="1:11" ht="14.25" customHeight="1" x14ac:dyDescent="0.35">
      <c r="B12" s="27" t="s">
        <v>103</v>
      </c>
      <c r="C12" s="21" t="s">
        <v>105</v>
      </c>
      <c r="D12" s="28">
        <v>50000</v>
      </c>
      <c r="F12" s="27" t="s">
        <v>106</v>
      </c>
      <c r="G12" s="23">
        <f t="shared" ca="1" si="0"/>
        <v>1220000</v>
      </c>
      <c r="H12" s="24">
        <f t="shared" si="1"/>
        <v>3</v>
      </c>
    </row>
    <row r="13" spans="1:11" ht="14.25" customHeight="1" x14ac:dyDescent="0.35">
      <c r="B13" s="27" t="s">
        <v>99</v>
      </c>
      <c r="C13" s="21" t="s">
        <v>107</v>
      </c>
      <c r="D13" s="28">
        <v>450000</v>
      </c>
      <c r="F13" s="27" t="s">
        <v>109</v>
      </c>
      <c r="G13" s="23">
        <f t="shared" ca="1" si="0"/>
        <v>20191282</v>
      </c>
      <c r="H13" s="24">
        <f t="shared" si="1"/>
        <v>15</v>
      </c>
    </row>
    <row r="14" spans="1:11" ht="14.25" customHeight="1" x14ac:dyDescent="0.35">
      <c r="B14" s="27" t="s">
        <v>103</v>
      </c>
      <c r="C14" s="21" t="s">
        <v>105</v>
      </c>
      <c r="D14" s="28">
        <v>20000000</v>
      </c>
      <c r="F14" s="27" t="s">
        <v>111</v>
      </c>
      <c r="G14" s="23">
        <f t="shared" ca="1" si="0"/>
        <v>6000</v>
      </c>
      <c r="H14" s="24">
        <f t="shared" si="1"/>
        <v>1</v>
      </c>
    </row>
    <row r="15" spans="1:11" ht="14.25" customHeight="1" x14ac:dyDescent="0.35">
      <c r="B15" s="27" t="s">
        <v>103</v>
      </c>
      <c r="C15" s="21" t="s">
        <v>105</v>
      </c>
      <c r="D15" s="28">
        <v>10300</v>
      </c>
      <c r="F15" s="27" t="s">
        <v>99</v>
      </c>
      <c r="G15" s="23">
        <f t="shared" ca="1" si="0"/>
        <v>65000</v>
      </c>
      <c r="H15" s="24">
        <f t="shared" si="1"/>
        <v>4</v>
      </c>
    </row>
    <row r="16" spans="1:11" ht="14.25" customHeight="1" x14ac:dyDescent="0.35">
      <c r="B16" s="27" t="s">
        <v>103</v>
      </c>
      <c r="C16" s="21" t="s">
        <v>115</v>
      </c>
      <c r="D16" s="28">
        <v>225000</v>
      </c>
      <c r="F16" s="27" t="s">
        <v>116</v>
      </c>
      <c r="G16" s="23">
        <f t="shared" ca="1" si="0"/>
        <v>350000</v>
      </c>
      <c r="H16" s="24">
        <f t="shared" si="1"/>
        <v>2</v>
      </c>
    </row>
    <row r="17" spans="2:8" ht="14.25" customHeight="1" x14ac:dyDescent="0.35">
      <c r="B17" s="27" t="s">
        <v>99</v>
      </c>
      <c r="C17" s="21" t="s">
        <v>119</v>
      </c>
      <c r="D17" s="28">
        <v>25000</v>
      </c>
      <c r="F17" s="27" t="s">
        <v>120</v>
      </c>
      <c r="G17" s="23">
        <f t="shared" ca="1" si="0"/>
        <v>2050000</v>
      </c>
      <c r="H17" s="24">
        <f t="shared" si="1"/>
        <v>13</v>
      </c>
    </row>
    <row r="18" spans="2:8" ht="14.25" customHeight="1" x14ac:dyDescent="0.35">
      <c r="B18" s="27" t="s">
        <v>103</v>
      </c>
      <c r="C18" s="21" t="s">
        <v>115</v>
      </c>
      <c r="D18" s="28">
        <v>60000</v>
      </c>
      <c r="F18" s="27" t="s">
        <v>122</v>
      </c>
      <c r="G18" s="23">
        <f t="shared" ca="1" si="0"/>
        <v>12863000</v>
      </c>
      <c r="H18" s="24">
        <f t="shared" si="1"/>
        <v>20</v>
      </c>
    </row>
    <row r="19" spans="2:8" ht="14.25" customHeight="1" x14ac:dyDescent="0.35">
      <c r="B19" s="27" t="s">
        <v>103</v>
      </c>
      <c r="C19" s="21" t="s">
        <v>124</v>
      </c>
      <c r="D19" s="28">
        <v>50000</v>
      </c>
      <c r="F19" s="27" t="s">
        <v>125</v>
      </c>
      <c r="G19" s="23">
        <f t="shared" ca="1" si="0"/>
        <v>25000</v>
      </c>
      <c r="H19" s="24">
        <f t="shared" si="1"/>
        <v>1</v>
      </c>
    </row>
    <row r="20" spans="2:8" ht="14.25" customHeight="1" x14ac:dyDescent="0.35">
      <c r="B20" s="27" t="s">
        <v>122</v>
      </c>
      <c r="C20" s="21" t="s">
        <v>126</v>
      </c>
      <c r="D20" s="28">
        <v>10000</v>
      </c>
      <c r="F20" s="27" t="s">
        <v>92</v>
      </c>
      <c r="G20" s="23">
        <f t="shared" ca="1" si="0"/>
        <v>26798033</v>
      </c>
      <c r="H20" s="24">
        <f t="shared" si="1"/>
        <v>41</v>
      </c>
    </row>
    <row r="21" spans="2:8" ht="14.25" customHeight="1" x14ac:dyDescent="0.35">
      <c r="B21" s="27" t="s">
        <v>122</v>
      </c>
      <c r="C21" s="21" t="s">
        <v>128</v>
      </c>
      <c r="D21" s="28">
        <v>800000</v>
      </c>
      <c r="F21" s="27" t="s">
        <v>103</v>
      </c>
      <c r="G21" s="23">
        <f t="shared" ca="1" si="0"/>
        <v>58368223</v>
      </c>
      <c r="H21" s="24">
        <f t="shared" si="1"/>
        <v>98</v>
      </c>
    </row>
    <row r="22" spans="2:8" ht="14.25" customHeight="1" x14ac:dyDescent="0.35">
      <c r="B22" s="27" t="s">
        <v>99</v>
      </c>
      <c r="C22" s="21" t="s">
        <v>119</v>
      </c>
      <c r="D22" s="28">
        <v>25000</v>
      </c>
      <c r="F22" s="31" t="s">
        <v>131</v>
      </c>
      <c r="G22" s="23">
        <f t="shared" ca="1" si="0"/>
        <v>6412789</v>
      </c>
      <c r="H22" s="24">
        <f t="shared" si="1"/>
        <v>16</v>
      </c>
    </row>
    <row r="23" spans="2:8" ht="14.25" customHeight="1" x14ac:dyDescent="0.35">
      <c r="B23" s="27" t="s">
        <v>116</v>
      </c>
      <c r="C23" s="21" t="s">
        <v>133</v>
      </c>
      <c r="D23" s="28">
        <v>50000</v>
      </c>
      <c r="F23" s="32" t="s">
        <v>63</v>
      </c>
      <c r="G23" s="23">
        <f ca="1">SUM(G5:G22)</f>
        <v>175703471</v>
      </c>
      <c r="H23" s="33"/>
    </row>
    <row r="24" spans="2:8" ht="14.25" customHeight="1" x14ac:dyDescent="0.35">
      <c r="B24" s="27" t="s">
        <v>99</v>
      </c>
      <c r="C24" s="21" t="s">
        <v>100</v>
      </c>
      <c r="D24" s="28">
        <v>5000</v>
      </c>
    </row>
    <row r="25" spans="2:8" ht="14.25" customHeight="1" x14ac:dyDescent="0.35">
      <c r="B25" s="27" t="s">
        <v>111</v>
      </c>
      <c r="C25" s="21" t="s">
        <v>136</v>
      </c>
      <c r="D25" s="28">
        <v>6000</v>
      </c>
    </row>
    <row r="26" spans="2:8" ht="14.25" customHeight="1" x14ac:dyDescent="0.35">
      <c r="B26" s="27" t="s">
        <v>103</v>
      </c>
      <c r="C26" s="21" t="s">
        <v>105</v>
      </c>
      <c r="D26" s="28">
        <v>6000</v>
      </c>
    </row>
    <row r="27" spans="2:8" ht="14.25" customHeight="1" x14ac:dyDescent="0.35">
      <c r="B27" s="27" t="s">
        <v>85</v>
      </c>
      <c r="C27" s="21" t="s">
        <v>138</v>
      </c>
      <c r="D27" s="28">
        <v>500000</v>
      </c>
    </row>
    <row r="28" spans="2:8" ht="14.25" customHeight="1" x14ac:dyDescent="0.35">
      <c r="B28" s="27" t="s">
        <v>99</v>
      </c>
      <c r="C28" s="21" t="s">
        <v>119</v>
      </c>
      <c r="D28" s="28">
        <v>10000</v>
      </c>
    </row>
    <row r="29" spans="2:8" ht="14.25" customHeight="1" x14ac:dyDescent="0.35">
      <c r="B29" s="27" t="s">
        <v>103</v>
      </c>
      <c r="C29" s="21" t="s">
        <v>124</v>
      </c>
      <c r="D29" s="28">
        <v>60000</v>
      </c>
    </row>
    <row r="30" spans="2:8" ht="14.25" customHeight="1" x14ac:dyDescent="0.35">
      <c r="B30" s="27" t="s">
        <v>78</v>
      </c>
      <c r="C30" s="21" t="s">
        <v>80</v>
      </c>
      <c r="D30" s="28">
        <v>100000</v>
      </c>
    </row>
    <row r="31" spans="2:8" ht="14.25" customHeight="1" x14ac:dyDescent="0.35">
      <c r="B31" s="27" t="s">
        <v>103</v>
      </c>
      <c r="C31" s="21" t="s">
        <v>141</v>
      </c>
      <c r="D31" s="28">
        <v>400000</v>
      </c>
    </row>
    <row r="32" spans="2:8" ht="14.25" customHeight="1" x14ac:dyDescent="0.35">
      <c r="B32" s="27" t="s">
        <v>103</v>
      </c>
      <c r="C32" s="21" t="s">
        <v>142</v>
      </c>
      <c r="D32" s="28">
        <v>195000</v>
      </c>
    </row>
    <row r="33" spans="2:4" ht="14.25" customHeight="1" x14ac:dyDescent="0.35">
      <c r="B33" s="27" t="s">
        <v>95</v>
      </c>
      <c r="C33" s="21" t="s">
        <v>144</v>
      </c>
      <c r="D33" s="28">
        <v>400000</v>
      </c>
    </row>
    <row r="34" spans="2:4" ht="14.25" customHeight="1" x14ac:dyDescent="0.35">
      <c r="B34" s="27" t="s">
        <v>103</v>
      </c>
      <c r="C34" s="21" t="s">
        <v>115</v>
      </c>
      <c r="D34" s="28">
        <v>250000</v>
      </c>
    </row>
    <row r="35" spans="2:4" ht="14.25" customHeight="1" x14ac:dyDescent="0.35">
      <c r="B35" s="27" t="s">
        <v>78</v>
      </c>
      <c r="C35" s="21" t="s">
        <v>80</v>
      </c>
      <c r="D35" s="28">
        <v>220000</v>
      </c>
    </row>
    <row r="36" spans="2:4" ht="14.25" customHeight="1" x14ac:dyDescent="0.35">
      <c r="B36" s="27" t="s">
        <v>92</v>
      </c>
      <c r="C36" s="21" t="s">
        <v>93</v>
      </c>
      <c r="D36" s="28">
        <v>5000</v>
      </c>
    </row>
    <row r="37" spans="2:4" ht="14.25" customHeight="1" x14ac:dyDescent="0.35">
      <c r="B37" s="27" t="s">
        <v>91</v>
      </c>
      <c r="C37" s="21" t="s">
        <v>147</v>
      </c>
      <c r="D37" s="28">
        <v>50000</v>
      </c>
    </row>
    <row r="38" spans="2:4" ht="14.25" customHeight="1" x14ac:dyDescent="0.35">
      <c r="B38" s="27" t="s">
        <v>103</v>
      </c>
      <c r="C38" s="21" t="s">
        <v>115</v>
      </c>
      <c r="D38" s="28">
        <v>50000</v>
      </c>
    </row>
    <row r="39" spans="2:4" ht="14.25" customHeight="1" x14ac:dyDescent="0.35">
      <c r="B39" s="27" t="s">
        <v>103</v>
      </c>
      <c r="C39" s="21" t="s">
        <v>105</v>
      </c>
      <c r="D39" s="28">
        <v>5000</v>
      </c>
    </row>
    <row r="40" spans="2:4" ht="14.25" customHeight="1" x14ac:dyDescent="0.35">
      <c r="B40" s="27" t="s">
        <v>103</v>
      </c>
      <c r="C40" s="21" t="s">
        <v>115</v>
      </c>
      <c r="D40" s="28">
        <v>200000</v>
      </c>
    </row>
    <row r="41" spans="2:4" ht="14.25" customHeight="1" x14ac:dyDescent="0.35">
      <c r="B41" s="27" t="s">
        <v>92</v>
      </c>
      <c r="C41" s="21" t="s">
        <v>93</v>
      </c>
      <c r="D41" s="28">
        <v>200000</v>
      </c>
    </row>
    <row r="42" spans="2:4" ht="14.25" customHeight="1" x14ac:dyDescent="0.35">
      <c r="B42" s="27" t="s">
        <v>91</v>
      </c>
      <c r="C42" s="21" t="s">
        <v>136</v>
      </c>
      <c r="D42" s="28">
        <v>20000</v>
      </c>
    </row>
    <row r="43" spans="2:4" ht="14.25" customHeight="1" x14ac:dyDescent="0.35">
      <c r="B43" s="27" t="s">
        <v>91</v>
      </c>
      <c r="C43" s="21" t="s">
        <v>147</v>
      </c>
      <c r="D43" s="28">
        <v>2000000</v>
      </c>
    </row>
    <row r="44" spans="2:4" ht="14.25" customHeight="1" x14ac:dyDescent="0.35">
      <c r="B44" s="27" t="s">
        <v>78</v>
      </c>
      <c r="C44" s="21" t="s">
        <v>144</v>
      </c>
      <c r="D44" s="28">
        <v>2000000</v>
      </c>
    </row>
    <row r="45" spans="2:4" ht="14.25" customHeight="1" x14ac:dyDescent="0.35">
      <c r="B45" s="27" t="s">
        <v>95</v>
      </c>
      <c r="C45" s="21" t="s">
        <v>152</v>
      </c>
      <c r="D45" s="28">
        <v>500000</v>
      </c>
    </row>
    <row r="46" spans="2:4" ht="14.25" customHeight="1" x14ac:dyDescent="0.35">
      <c r="B46" s="27" t="s">
        <v>91</v>
      </c>
      <c r="C46" s="21" t="s">
        <v>136</v>
      </c>
      <c r="D46" s="28">
        <v>50000</v>
      </c>
    </row>
    <row r="47" spans="2:4" ht="14.25" customHeight="1" x14ac:dyDescent="0.35">
      <c r="B47" s="27" t="s">
        <v>91</v>
      </c>
      <c r="C47" s="21" t="s">
        <v>147</v>
      </c>
      <c r="D47" s="28">
        <v>1500000</v>
      </c>
    </row>
    <row r="48" spans="2:4" ht="14.25" customHeight="1" x14ac:dyDescent="0.35">
      <c r="B48" s="27" t="s">
        <v>78</v>
      </c>
      <c r="C48" s="21" t="s">
        <v>144</v>
      </c>
      <c r="D48" s="28">
        <v>500000</v>
      </c>
    </row>
    <row r="49" spans="2:4" ht="14.25" customHeight="1" x14ac:dyDescent="0.35">
      <c r="B49" s="27" t="s">
        <v>78</v>
      </c>
      <c r="C49" s="21" t="s">
        <v>80</v>
      </c>
      <c r="D49" s="28">
        <v>100000</v>
      </c>
    </row>
    <row r="50" spans="2:4" ht="14.25" customHeight="1" x14ac:dyDescent="0.35">
      <c r="B50" s="27" t="s">
        <v>78</v>
      </c>
      <c r="C50" s="21" t="s">
        <v>80</v>
      </c>
      <c r="D50" s="28">
        <v>50000</v>
      </c>
    </row>
    <row r="51" spans="2:4" ht="14.25" customHeight="1" x14ac:dyDescent="0.35">
      <c r="B51" s="27" t="s">
        <v>92</v>
      </c>
      <c r="C51" s="21" t="s">
        <v>155</v>
      </c>
      <c r="D51" s="28">
        <v>50000</v>
      </c>
    </row>
    <row r="52" spans="2:4" ht="14.25" customHeight="1" x14ac:dyDescent="0.35">
      <c r="B52" s="27" t="s">
        <v>91</v>
      </c>
      <c r="C52" s="21" t="s">
        <v>136</v>
      </c>
      <c r="D52" s="28">
        <v>50000</v>
      </c>
    </row>
    <row r="53" spans="2:4" ht="14.25" customHeight="1" x14ac:dyDescent="0.35">
      <c r="B53" s="27" t="s">
        <v>92</v>
      </c>
      <c r="C53" s="21" t="s">
        <v>93</v>
      </c>
      <c r="D53" s="28">
        <v>300000</v>
      </c>
    </row>
    <row r="54" spans="2:4" ht="14.25" customHeight="1" x14ac:dyDescent="0.35">
      <c r="B54" s="27" t="s">
        <v>103</v>
      </c>
      <c r="C54" s="21" t="s">
        <v>105</v>
      </c>
      <c r="D54" s="28">
        <v>100000</v>
      </c>
    </row>
    <row r="55" spans="2:4" ht="14.25" customHeight="1" x14ac:dyDescent="0.35">
      <c r="B55" s="27" t="s">
        <v>131</v>
      </c>
      <c r="C55" s="21" t="s">
        <v>128</v>
      </c>
      <c r="D55" s="28">
        <v>50000</v>
      </c>
    </row>
    <row r="56" spans="2:4" ht="14.25" customHeight="1" x14ac:dyDescent="0.35">
      <c r="B56" s="27" t="s">
        <v>103</v>
      </c>
      <c r="C56" s="21" t="s">
        <v>105</v>
      </c>
      <c r="D56" s="28">
        <v>100000</v>
      </c>
    </row>
    <row r="57" spans="2:4" ht="14.25" customHeight="1" x14ac:dyDescent="0.35">
      <c r="B57" s="27" t="s">
        <v>92</v>
      </c>
      <c r="C57" s="21" t="s">
        <v>93</v>
      </c>
      <c r="D57" s="28">
        <v>50000</v>
      </c>
    </row>
    <row r="58" spans="2:4" ht="14.25" customHeight="1" x14ac:dyDescent="0.35">
      <c r="B58" s="27" t="s">
        <v>103</v>
      </c>
      <c r="C58" s="21" t="s">
        <v>105</v>
      </c>
      <c r="D58" s="28">
        <v>100000</v>
      </c>
    </row>
    <row r="59" spans="2:4" ht="14.25" customHeight="1" x14ac:dyDescent="0.35">
      <c r="B59" s="27" t="s">
        <v>78</v>
      </c>
      <c r="C59" s="21" t="s">
        <v>80</v>
      </c>
      <c r="D59" s="28">
        <v>1000000</v>
      </c>
    </row>
    <row r="60" spans="2:4" ht="14.25" customHeight="1" x14ac:dyDescent="0.35">
      <c r="B60" s="27" t="s">
        <v>131</v>
      </c>
      <c r="C60" s="21" t="s">
        <v>160</v>
      </c>
      <c r="D60" s="28">
        <v>100000</v>
      </c>
    </row>
    <row r="61" spans="2:4" ht="14.25" customHeight="1" x14ac:dyDescent="0.35">
      <c r="B61" s="27" t="s">
        <v>103</v>
      </c>
      <c r="C61" s="21" t="s">
        <v>105</v>
      </c>
      <c r="D61" s="28">
        <v>25000</v>
      </c>
    </row>
    <row r="62" spans="2:4" ht="14.25" customHeight="1" x14ac:dyDescent="0.35">
      <c r="B62" s="27" t="s">
        <v>78</v>
      </c>
      <c r="C62" s="21" t="s">
        <v>161</v>
      </c>
      <c r="D62" s="28">
        <v>600000</v>
      </c>
    </row>
    <row r="63" spans="2:4" ht="14.25" customHeight="1" x14ac:dyDescent="0.35">
      <c r="B63" s="27" t="s">
        <v>78</v>
      </c>
      <c r="C63" s="21" t="s">
        <v>163</v>
      </c>
      <c r="D63" s="28">
        <v>1800000</v>
      </c>
    </row>
    <row r="64" spans="2:4" ht="14.25" customHeight="1" x14ac:dyDescent="0.35">
      <c r="B64" s="27" t="s">
        <v>78</v>
      </c>
      <c r="C64" s="21" t="s">
        <v>163</v>
      </c>
      <c r="D64" s="28">
        <v>100000</v>
      </c>
    </row>
    <row r="65" spans="2:4" ht="14.25" customHeight="1" x14ac:dyDescent="0.35">
      <c r="B65" s="27" t="s">
        <v>125</v>
      </c>
      <c r="C65" s="21" t="s">
        <v>165</v>
      </c>
      <c r="D65" s="28">
        <v>25000</v>
      </c>
    </row>
    <row r="66" spans="2:4" ht="14.25" customHeight="1" x14ac:dyDescent="0.35">
      <c r="B66" s="27" t="s">
        <v>78</v>
      </c>
      <c r="C66" s="21" t="s">
        <v>161</v>
      </c>
      <c r="D66" s="28">
        <v>50000</v>
      </c>
    </row>
    <row r="67" spans="2:4" ht="14.25" customHeight="1" x14ac:dyDescent="0.35">
      <c r="B67" s="27" t="s">
        <v>78</v>
      </c>
      <c r="C67" s="21" t="s">
        <v>107</v>
      </c>
      <c r="D67" s="28">
        <v>300000</v>
      </c>
    </row>
    <row r="68" spans="2:4" ht="14.25" customHeight="1" x14ac:dyDescent="0.35">
      <c r="B68" s="27" t="s">
        <v>89</v>
      </c>
      <c r="C68" s="21" t="s">
        <v>120</v>
      </c>
      <c r="D68" s="28">
        <v>185000</v>
      </c>
    </row>
    <row r="69" spans="2:4" ht="14.25" customHeight="1" x14ac:dyDescent="0.35">
      <c r="B69" s="27" t="s">
        <v>109</v>
      </c>
      <c r="C69" s="21" t="s">
        <v>91</v>
      </c>
      <c r="D69" s="28">
        <v>2500000</v>
      </c>
    </row>
    <row r="70" spans="2:4" ht="14.25" customHeight="1" x14ac:dyDescent="0.35">
      <c r="B70" s="27" t="s">
        <v>89</v>
      </c>
      <c r="C70" s="21" t="s">
        <v>120</v>
      </c>
      <c r="D70" s="28">
        <v>500000</v>
      </c>
    </row>
    <row r="71" spans="2:4" ht="14.25" customHeight="1" x14ac:dyDescent="0.35">
      <c r="B71" s="27" t="s">
        <v>120</v>
      </c>
      <c r="C71" s="21" t="s">
        <v>169</v>
      </c>
      <c r="D71" s="28">
        <v>15000</v>
      </c>
    </row>
    <row r="72" spans="2:4" ht="14.25" customHeight="1" x14ac:dyDescent="0.35">
      <c r="B72" s="27" t="s">
        <v>92</v>
      </c>
      <c r="C72" s="21" t="s">
        <v>93</v>
      </c>
      <c r="D72" s="28">
        <v>50000</v>
      </c>
    </row>
    <row r="73" spans="2:4" ht="14.25" customHeight="1" x14ac:dyDescent="0.35">
      <c r="B73" s="27" t="s">
        <v>89</v>
      </c>
      <c r="C73" s="21" t="s">
        <v>120</v>
      </c>
      <c r="D73" s="28">
        <v>50000</v>
      </c>
    </row>
    <row r="74" spans="2:4" ht="14.25" customHeight="1" x14ac:dyDescent="0.35">
      <c r="B74" s="27" t="s">
        <v>89</v>
      </c>
      <c r="C74" s="21" t="s">
        <v>120</v>
      </c>
      <c r="D74" s="28">
        <v>100000</v>
      </c>
    </row>
    <row r="75" spans="2:4" ht="14.25" customHeight="1" x14ac:dyDescent="0.35">
      <c r="B75" s="27" t="s">
        <v>89</v>
      </c>
      <c r="C75" s="21" t="s">
        <v>120</v>
      </c>
      <c r="D75" s="28">
        <v>45000</v>
      </c>
    </row>
    <row r="76" spans="2:4" ht="14.25" customHeight="1" x14ac:dyDescent="0.35">
      <c r="B76" s="27" t="s">
        <v>109</v>
      </c>
      <c r="C76" s="21" t="s">
        <v>95</v>
      </c>
      <c r="D76" s="28">
        <v>47282</v>
      </c>
    </row>
    <row r="77" spans="2:4" ht="14.25" customHeight="1" x14ac:dyDescent="0.35">
      <c r="B77" s="27" t="s">
        <v>92</v>
      </c>
      <c r="C77" s="21" t="s">
        <v>93</v>
      </c>
      <c r="D77" s="28">
        <v>34033</v>
      </c>
    </row>
    <row r="78" spans="2:4" ht="14.25" customHeight="1" x14ac:dyDescent="0.35">
      <c r="B78" s="27" t="s">
        <v>92</v>
      </c>
      <c r="C78" s="21" t="s">
        <v>93</v>
      </c>
      <c r="D78" s="28">
        <v>1000000</v>
      </c>
    </row>
    <row r="79" spans="2:4" ht="14.25" customHeight="1" x14ac:dyDescent="0.35">
      <c r="B79" s="27" t="s">
        <v>91</v>
      </c>
      <c r="C79" s="21" t="s">
        <v>147</v>
      </c>
      <c r="D79" s="28">
        <v>1000000</v>
      </c>
    </row>
    <row r="80" spans="2:4" ht="14.25" customHeight="1" x14ac:dyDescent="0.35">
      <c r="B80" s="27" t="s">
        <v>92</v>
      </c>
      <c r="C80" s="21" t="s">
        <v>93</v>
      </c>
      <c r="D80" s="28">
        <v>4000000</v>
      </c>
    </row>
    <row r="81" spans="2:4" ht="14.25" customHeight="1" x14ac:dyDescent="0.35">
      <c r="B81" s="27" t="s">
        <v>109</v>
      </c>
      <c r="C81" s="21" t="s">
        <v>91</v>
      </c>
      <c r="D81" s="28">
        <v>27000</v>
      </c>
    </row>
    <row r="82" spans="2:4" ht="14.25" customHeight="1" x14ac:dyDescent="0.35">
      <c r="B82" s="27" t="s">
        <v>78</v>
      </c>
      <c r="C82" s="21" t="s">
        <v>90</v>
      </c>
      <c r="D82" s="28">
        <v>50000</v>
      </c>
    </row>
    <row r="83" spans="2:4" ht="14.25" customHeight="1" x14ac:dyDescent="0.35">
      <c r="B83" s="27" t="s">
        <v>109</v>
      </c>
      <c r="C83" s="21" t="s">
        <v>91</v>
      </c>
      <c r="D83" s="28">
        <v>50000</v>
      </c>
    </row>
    <row r="84" spans="2:4" ht="14.25" customHeight="1" x14ac:dyDescent="0.35">
      <c r="B84" s="27" t="s">
        <v>109</v>
      </c>
      <c r="C84" s="21" t="s">
        <v>91</v>
      </c>
      <c r="D84" s="28">
        <v>1000000</v>
      </c>
    </row>
    <row r="85" spans="2:4" ht="14.25" customHeight="1" x14ac:dyDescent="0.35">
      <c r="B85" s="27" t="s">
        <v>89</v>
      </c>
      <c r="C85" s="21" t="s">
        <v>172</v>
      </c>
      <c r="D85" s="28">
        <v>500000</v>
      </c>
    </row>
    <row r="86" spans="2:4" ht="14.25" customHeight="1" x14ac:dyDescent="0.35">
      <c r="B86" s="27" t="s">
        <v>89</v>
      </c>
      <c r="C86" s="21" t="s">
        <v>173</v>
      </c>
      <c r="D86" s="28">
        <v>850000</v>
      </c>
    </row>
    <row r="87" spans="2:4" ht="14.25" customHeight="1" x14ac:dyDescent="0.35">
      <c r="B87" s="27" t="s">
        <v>109</v>
      </c>
      <c r="C87" s="21" t="s">
        <v>91</v>
      </c>
      <c r="D87" s="28">
        <v>297000</v>
      </c>
    </row>
    <row r="88" spans="2:4" ht="14.25" customHeight="1" x14ac:dyDescent="0.35">
      <c r="B88" s="27" t="s">
        <v>89</v>
      </c>
      <c r="C88" s="21" t="s">
        <v>120</v>
      </c>
      <c r="D88" s="28">
        <v>50000</v>
      </c>
    </row>
    <row r="89" spans="2:4" ht="14.25" customHeight="1" x14ac:dyDescent="0.35">
      <c r="B89" s="27" t="s">
        <v>120</v>
      </c>
      <c r="C89" s="21" t="s">
        <v>174</v>
      </c>
      <c r="D89" s="28">
        <v>1000000</v>
      </c>
    </row>
    <row r="90" spans="2:4" ht="14.25" customHeight="1" x14ac:dyDescent="0.35">
      <c r="B90" s="27" t="s">
        <v>78</v>
      </c>
      <c r="C90" s="21" t="s">
        <v>107</v>
      </c>
      <c r="D90" s="28">
        <v>25000</v>
      </c>
    </row>
    <row r="91" spans="2:4" ht="14.25" customHeight="1" x14ac:dyDescent="0.35">
      <c r="B91" s="27" t="s">
        <v>78</v>
      </c>
      <c r="C91" s="21" t="s">
        <v>107</v>
      </c>
      <c r="D91" s="28">
        <v>25000</v>
      </c>
    </row>
    <row r="92" spans="2:4" ht="14.25" customHeight="1" x14ac:dyDescent="0.35">
      <c r="B92" s="27" t="s">
        <v>120</v>
      </c>
      <c r="C92" s="21" t="s">
        <v>91</v>
      </c>
      <c r="D92" s="28">
        <v>100000</v>
      </c>
    </row>
    <row r="93" spans="2:4" ht="14.25" customHeight="1" x14ac:dyDescent="0.35">
      <c r="B93" s="27" t="s">
        <v>109</v>
      </c>
      <c r="C93" s="21" t="s">
        <v>91</v>
      </c>
      <c r="D93" s="28">
        <v>260000</v>
      </c>
    </row>
    <row r="94" spans="2:4" ht="14.25" customHeight="1" x14ac:dyDescent="0.35">
      <c r="B94" s="27" t="s">
        <v>109</v>
      </c>
      <c r="C94" s="21" t="s">
        <v>91</v>
      </c>
      <c r="D94" s="28">
        <v>500000</v>
      </c>
    </row>
    <row r="95" spans="2:4" ht="14.25" customHeight="1" x14ac:dyDescent="0.35">
      <c r="B95" s="27" t="s">
        <v>109</v>
      </c>
      <c r="C95" s="21" t="s">
        <v>91</v>
      </c>
      <c r="D95" s="28">
        <v>300000</v>
      </c>
    </row>
    <row r="96" spans="2:4" ht="14.25" customHeight="1" x14ac:dyDescent="0.35">
      <c r="B96" s="27" t="s">
        <v>92</v>
      </c>
      <c r="C96" s="21" t="s">
        <v>175</v>
      </c>
      <c r="D96" s="28">
        <v>150000</v>
      </c>
    </row>
    <row r="97" spans="2:4" ht="14.25" customHeight="1" x14ac:dyDescent="0.35">
      <c r="B97" s="27" t="s">
        <v>89</v>
      </c>
      <c r="C97" s="21" t="s">
        <v>173</v>
      </c>
      <c r="D97" s="28">
        <v>5000000</v>
      </c>
    </row>
    <row r="98" spans="2:4" ht="14.25" customHeight="1" x14ac:dyDescent="0.35">
      <c r="B98" s="27" t="s">
        <v>78</v>
      </c>
      <c r="C98" s="21" t="s">
        <v>107</v>
      </c>
      <c r="D98" s="28">
        <v>15000000</v>
      </c>
    </row>
    <row r="99" spans="2:4" ht="14.25" customHeight="1" x14ac:dyDescent="0.35">
      <c r="B99" s="27" t="s">
        <v>109</v>
      </c>
      <c r="C99" s="21" t="s">
        <v>91</v>
      </c>
      <c r="D99" s="28">
        <v>7500000</v>
      </c>
    </row>
    <row r="100" spans="2:4" ht="14.25" customHeight="1" x14ac:dyDescent="0.35">
      <c r="B100" s="27" t="s">
        <v>92</v>
      </c>
      <c r="C100" s="21" t="s">
        <v>93</v>
      </c>
      <c r="D100" s="28">
        <v>1000000</v>
      </c>
    </row>
    <row r="101" spans="2:4" ht="14.25" customHeight="1" x14ac:dyDescent="0.35">
      <c r="B101" s="27" t="s">
        <v>103</v>
      </c>
      <c r="C101" s="21" t="s">
        <v>177</v>
      </c>
      <c r="D101" s="28">
        <v>55000</v>
      </c>
    </row>
    <row r="102" spans="2:4" ht="14.25" customHeight="1" x14ac:dyDescent="0.35">
      <c r="B102" s="27" t="s">
        <v>92</v>
      </c>
      <c r="C102" s="21" t="s">
        <v>93</v>
      </c>
      <c r="D102" s="28">
        <v>300000</v>
      </c>
    </row>
    <row r="103" spans="2:4" ht="14.25" customHeight="1" x14ac:dyDescent="0.35">
      <c r="B103" s="27" t="s">
        <v>109</v>
      </c>
      <c r="C103" s="21" t="s">
        <v>91</v>
      </c>
      <c r="D103" s="28">
        <v>175000</v>
      </c>
    </row>
    <row r="104" spans="2:4" ht="14.25" customHeight="1" x14ac:dyDescent="0.35">
      <c r="B104" s="27" t="s">
        <v>78</v>
      </c>
      <c r="C104" s="21" t="s">
        <v>90</v>
      </c>
      <c r="D104" s="28">
        <v>100000</v>
      </c>
    </row>
    <row r="105" spans="2:4" ht="14.25" customHeight="1" x14ac:dyDescent="0.35">
      <c r="B105" s="27" t="s">
        <v>95</v>
      </c>
      <c r="C105" s="21" t="s">
        <v>179</v>
      </c>
      <c r="D105" s="28">
        <v>400000</v>
      </c>
    </row>
    <row r="106" spans="2:4" ht="14.25" customHeight="1" x14ac:dyDescent="0.35">
      <c r="B106" s="27" t="s">
        <v>78</v>
      </c>
      <c r="C106" s="21" t="s">
        <v>107</v>
      </c>
      <c r="D106" s="28">
        <v>50000</v>
      </c>
    </row>
    <row r="107" spans="2:4" ht="14.25" customHeight="1" x14ac:dyDescent="0.35">
      <c r="B107" s="27" t="s">
        <v>120</v>
      </c>
      <c r="C107" s="21" t="s">
        <v>95</v>
      </c>
      <c r="D107" s="28">
        <v>100000</v>
      </c>
    </row>
    <row r="108" spans="2:4" ht="14.25" customHeight="1" x14ac:dyDescent="0.35">
      <c r="B108" s="27" t="s">
        <v>78</v>
      </c>
      <c r="C108" s="21" t="s">
        <v>90</v>
      </c>
      <c r="D108" s="28">
        <v>50000</v>
      </c>
    </row>
    <row r="109" spans="2:4" ht="14.25" customHeight="1" x14ac:dyDescent="0.35">
      <c r="B109" s="27" t="s">
        <v>109</v>
      </c>
      <c r="C109" s="21" t="s">
        <v>91</v>
      </c>
      <c r="D109" s="28">
        <v>25000</v>
      </c>
    </row>
    <row r="110" spans="2:4" ht="14.25" customHeight="1" x14ac:dyDescent="0.35">
      <c r="B110" s="27" t="s">
        <v>78</v>
      </c>
      <c r="C110" s="21" t="s">
        <v>80</v>
      </c>
      <c r="D110" s="28">
        <v>100000</v>
      </c>
    </row>
    <row r="111" spans="2:4" ht="14.25" customHeight="1" x14ac:dyDescent="0.35">
      <c r="B111" s="27" t="s">
        <v>109</v>
      </c>
      <c r="C111" s="21" t="s">
        <v>91</v>
      </c>
      <c r="D111" s="28">
        <v>10000</v>
      </c>
    </row>
    <row r="112" spans="2:4" ht="14.25" customHeight="1" x14ac:dyDescent="0.35">
      <c r="B112" s="27" t="s">
        <v>120</v>
      </c>
      <c r="C112" s="21" t="s">
        <v>169</v>
      </c>
      <c r="D112" s="28">
        <v>35000</v>
      </c>
    </row>
    <row r="113" spans="2:4" ht="14.25" customHeight="1" x14ac:dyDescent="0.35">
      <c r="B113" s="27" t="s">
        <v>78</v>
      </c>
      <c r="C113" s="21" t="s">
        <v>90</v>
      </c>
      <c r="D113" s="28">
        <v>50000</v>
      </c>
    </row>
    <row r="114" spans="2:4" ht="14.25" customHeight="1" x14ac:dyDescent="0.35">
      <c r="B114" s="27" t="s">
        <v>89</v>
      </c>
      <c r="C114" s="21" t="s">
        <v>172</v>
      </c>
      <c r="D114" s="28">
        <v>150000</v>
      </c>
    </row>
    <row r="115" spans="2:4" ht="14.25" customHeight="1" x14ac:dyDescent="0.35">
      <c r="B115" s="27" t="s">
        <v>78</v>
      </c>
      <c r="C115" s="21" t="s">
        <v>87</v>
      </c>
      <c r="D115" s="28">
        <v>50000</v>
      </c>
    </row>
    <row r="116" spans="2:4" ht="14.25" customHeight="1" x14ac:dyDescent="0.35">
      <c r="B116" s="27" t="s">
        <v>120</v>
      </c>
      <c r="C116" s="21" t="s">
        <v>95</v>
      </c>
      <c r="D116" s="28">
        <v>300000</v>
      </c>
    </row>
    <row r="117" spans="2:4" ht="14.25" customHeight="1" x14ac:dyDescent="0.35">
      <c r="B117" s="27" t="s">
        <v>78</v>
      </c>
      <c r="C117" s="21" t="s">
        <v>187</v>
      </c>
      <c r="D117" s="28">
        <v>200000</v>
      </c>
    </row>
    <row r="118" spans="2:4" ht="14.25" customHeight="1" x14ac:dyDescent="0.35">
      <c r="B118" s="27" t="s">
        <v>92</v>
      </c>
      <c r="C118" s="21" t="s">
        <v>188</v>
      </c>
      <c r="D118" s="28">
        <v>190000</v>
      </c>
    </row>
    <row r="119" spans="2:4" ht="14.25" customHeight="1" x14ac:dyDescent="0.35">
      <c r="B119" s="27" t="s">
        <v>89</v>
      </c>
      <c r="C119" s="21" t="s">
        <v>189</v>
      </c>
      <c r="D119" s="28">
        <v>5500</v>
      </c>
    </row>
    <row r="120" spans="2:4" ht="14.25" customHeight="1" x14ac:dyDescent="0.35">
      <c r="B120" s="27" t="s">
        <v>78</v>
      </c>
      <c r="C120" s="21" t="s">
        <v>107</v>
      </c>
      <c r="D120" s="28">
        <v>200000</v>
      </c>
    </row>
    <row r="121" spans="2:4" ht="14.25" customHeight="1" x14ac:dyDescent="0.35">
      <c r="B121" s="27" t="s">
        <v>92</v>
      </c>
      <c r="C121" s="21" t="s">
        <v>95</v>
      </c>
      <c r="D121" s="28">
        <v>800000</v>
      </c>
    </row>
    <row r="122" spans="2:4" ht="14.25" customHeight="1" x14ac:dyDescent="0.35">
      <c r="B122" s="27" t="s">
        <v>91</v>
      </c>
      <c r="C122" s="21" t="s">
        <v>192</v>
      </c>
      <c r="D122" s="28">
        <v>195000</v>
      </c>
    </row>
    <row r="123" spans="2:4" ht="14.25" customHeight="1" x14ac:dyDescent="0.35">
      <c r="B123" s="27" t="s">
        <v>92</v>
      </c>
      <c r="C123" s="21" t="s">
        <v>195</v>
      </c>
      <c r="D123" s="28">
        <v>100000</v>
      </c>
    </row>
    <row r="124" spans="2:4" ht="14.25" customHeight="1" x14ac:dyDescent="0.35">
      <c r="B124" s="27" t="s">
        <v>92</v>
      </c>
      <c r="C124" s="21" t="s">
        <v>95</v>
      </c>
      <c r="D124" s="28">
        <v>50000</v>
      </c>
    </row>
    <row r="125" spans="2:4" ht="14.25" customHeight="1" x14ac:dyDescent="0.35">
      <c r="B125" s="27" t="s">
        <v>89</v>
      </c>
      <c r="C125" s="21" t="s">
        <v>197</v>
      </c>
      <c r="D125" s="28">
        <v>90000</v>
      </c>
    </row>
    <row r="126" spans="2:4" ht="14.25" customHeight="1" x14ac:dyDescent="0.35">
      <c r="B126" s="27" t="s">
        <v>92</v>
      </c>
      <c r="C126" s="21" t="s">
        <v>199</v>
      </c>
      <c r="D126" s="28">
        <v>50000</v>
      </c>
    </row>
    <row r="127" spans="2:4" ht="14.25" customHeight="1" x14ac:dyDescent="0.35">
      <c r="B127" s="27" t="s">
        <v>92</v>
      </c>
      <c r="C127" s="21" t="s">
        <v>202</v>
      </c>
      <c r="D127" s="28">
        <v>30000</v>
      </c>
    </row>
    <row r="128" spans="2:4" ht="14.25" customHeight="1" x14ac:dyDescent="0.35">
      <c r="B128" s="27" t="s">
        <v>92</v>
      </c>
      <c r="C128" s="21" t="s">
        <v>195</v>
      </c>
      <c r="D128" s="28">
        <v>30000</v>
      </c>
    </row>
    <row r="129" spans="2:4" ht="14.25" customHeight="1" x14ac:dyDescent="0.35">
      <c r="B129" s="27" t="s">
        <v>92</v>
      </c>
      <c r="C129" s="21" t="s">
        <v>93</v>
      </c>
      <c r="D129" s="28">
        <v>10000000</v>
      </c>
    </row>
    <row r="130" spans="2:4" ht="14.25" customHeight="1" x14ac:dyDescent="0.35">
      <c r="B130" s="27" t="s">
        <v>92</v>
      </c>
      <c r="C130" s="21" t="s">
        <v>95</v>
      </c>
      <c r="D130" s="28">
        <v>5000000</v>
      </c>
    </row>
    <row r="131" spans="2:4" ht="14.25" customHeight="1" x14ac:dyDescent="0.35">
      <c r="B131" s="27" t="s">
        <v>91</v>
      </c>
      <c r="C131" s="21" t="s">
        <v>192</v>
      </c>
      <c r="D131" s="28">
        <v>4000000</v>
      </c>
    </row>
    <row r="132" spans="2:4" ht="14.25" customHeight="1" x14ac:dyDescent="0.35">
      <c r="B132" s="27" t="s">
        <v>92</v>
      </c>
      <c r="C132" s="21" t="s">
        <v>93</v>
      </c>
      <c r="D132" s="28">
        <v>1000000</v>
      </c>
    </row>
    <row r="133" spans="2:4" ht="14.25" customHeight="1" x14ac:dyDescent="0.35">
      <c r="B133" s="27" t="s">
        <v>109</v>
      </c>
      <c r="C133" s="21" t="s">
        <v>174</v>
      </c>
      <c r="D133" s="28">
        <v>5000000</v>
      </c>
    </row>
    <row r="134" spans="2:4" ht="14.25" customHeight="1" x14ac:dyDescent="0.35">
      <c r="B134" s="27" t="s">
        <v>92</v>
      </c>
      <c r="C134" s="21" t="s">
        <v>188</v>
      </c>
      <c r="D134" s="28">
        <v>25000</v>
      </c>
    </row>
    <row r="135" spans="2:4" ht="14.25" customHeight="1" x14ac:dyDescent="0.35">
      <c r="B135" s="27" t="s">
        <v>92</v>
      </c>
      <c r="C135" s="21" t="s">
        <v>199</v>
      </c>
      <c r="D135" s="28">
        <v>100000</v>
      </c>
    </row>
    <row r="136" spans="2:4" ht="14.25" customHeight="1" x14ac:dyDescent="0.35">
      <c r="B136" s="27" t="s">
        <v>92</v>
      </c>
      <c r="C136" s="21" t="s">
        <v>95</v>
      </c>
      <c r="D136" s="28">
        <v>60000</v>
      </c>
    </row>
    <row r="137" spans="2:4" ht="14.25" customHeight="1" x14ac:dyDescent="0.35">
      <c r="B137" s="27" t="s">
        <v>89</v>
      </c>
      <c r="C137" s="21" t="s">
        <v>197</v>
      </c>
      <c r="D137" s="28">
        <v>200000</v>
      </c>
    </row>
    <row r="138" spans="2:4" ht="14.25" customHeight="1" x14ac:dyDescent="0.35">
      <c r="B138" s="27" t="s">
        <v>109</v>
      </c>
      <c r="C138" s="21" t="s">
        <v>204</v>
      </c>
      <c r="D138" s="28">
        <v>2500000</v>
      </c>
    </row>
    <row r="139" spans="2:4" ht="14.25" customHeight="1" x14ac:dyDescent="0.35">
      <c r="B139" s="27" t="s">
        <v>91</v>
      </c>
      <c r="C139" s="21" t="s">
        <v>192</v>
      </c>
      <c r="D139" s="28">
        <v>150000</v>
      </c>
    </row>
    <row r="140" spans="2:4" ht="14.25" customHeight="1" x14ac:dyDescent="0.35">
      <c r="B140" s="27" t="s">
        <v>92</v>
      </c>
      <c r="C140" s="21" t="s">
        <v>95</v>
      </c>
      <c r="D140" s="28">
        <v>25000</v>
      </c>
    </row>
    <row r="141" spans="2:4" ht="14.25" customHeight="1" x14ac:dyDescent="0.35">
      <c r="B141" s="27" t="s">
        <v>78</v>
      </c>
      <c r="C141" s="21" t="s">
        <v>119</v>
      </c>
      <c r="D141" s="28">
        <v>40000</v>
      </c>
    </row>
    <row r="142" spans="2:4" ht="14.25" customHeight="1" x14ac:dyDescent="0.35">
      <c r="B142" s="27" t="s">
        <v>120</v>
      </c>
      <c r="C142" s="21" t="s">
        <v>174</v>
      </c>
      <c r="D142" s="28">
        <v>500000</v>
      </c>
    </row>
    <row r="143" spans="2:4" ht="14.25" customHeight="1" x14ac:dyDescent="0.35">
      <c r="B143" s="27" t="s">
        <v>91</v>
      </c>
      <c r="C143" s="21" t="s">
        <v>147</v>
      </c>
      <c r="D143" s="28">
        <v>500000</v>
      </c>
    </row>
    <row r="144" spans="2:4" ht="14.25" customHeight="1" x14ac:dyDescent="0.35">
      <c r="B144" s="27" t="s">
        <v>131</v>
      </c>
      <c r="C144" s="21" t="s">
        <v>105</v>
      </c>
      <c r="D144" s="28">
        <v>90000</v>
      </c>
    </row>
    <row r="145" spans="2:4" ht="14.25" customHeight="1" x14ac:dyDescent="0.35">
      <c r="B145" s="27" t="s">
        <v>103</v>
      </c>
      <c r="C145" s="21" t="s">
        <v>115</v>
      </c>
      <c r="D145" s="28">
        <v>45000</v>
      </c>
    </row>
    <row r="146" spans="2:4" ht="14.25" customHeight="1" x14ac:dyDescent="0.35">
      <c r="B146" s="27" t="s">
        <v>103</v>
      </c>
      <c r="C146" s="21" t="s">
        <v>205</v>
      </c>
      <c r="D146" s="28">
        <v>40000</v>
      </c>
    </row>
    <row r="147" spans="2:4" ht="14.25" customHeight="1" x14ac:dyDescent="0.35">
      <c r="B147" s="27" t="s">
        <v>103</v>
      </c>
      <c r="C147" s="21" t="s">
        <v>206</v>
      </c>
      <c r="D147" s="28">
        <v>10000</v>
      </c>
    </row>
    <row r="148" spans="2:4" ht="14.25" customHeight="1" x14ac:dyDescent="0.35">
      <c r="B148" s="27" t="s">
        <v>103</v>
      </c>
      <c r="C148" s="21" t="s">
        <v>205</v>
      </c>
      <c r="D148" s="28">
        <v>1000</v>
      </c>
    </row>
    <row r="149" spans="2:4" ht="14.25" customHeight="1" x14ac:dyDescent="0.35">
      <c r="B149" s="27" t="s">
        <v>103</v>
      </c>
      <c r="C149" s="21" t="s">
        <v>141</v>
      </c>
      <c r="D149" s="28">
        <v>2600000</v>
      </c>
    </row>
    <row r="150" spans="2:4" ht="14.25" customHeight="1" x14ac:dyDescent="0.35">
      <c r="B150" s="27" t="s">
        <v>103</v>
      </c>
      <c r="C150" s="21" t="s">
        <v>206</v>
      </c>
      <c r="D150" s="28">
        <v>500000</v>
      </c>
    </row>
    <row r="151" spans="2:4" ht="14.25" customHeight="1" x14ac:dyDescent="0.35">
      <c r="B151" s="27" t="s">
        <v>103</v>
      </c>
      <c r="C151" s="21" t="s">
        <v>115</v>
      </c>
      <c r="D151" s="28">
        <v>1000</v>
      </c>
    </row>
    <row r="152" spans="2:4" ht="14.25" customHeight="1" x14ac:dyDescent="0.35">
      <c r="B152" s="27" t="s">
        <v>122</v>
      </c>
      <c r="C152" s="21" t="s">
        <v>128</v>
      </c>
      <c r="D152" s="28">
        <v>1000</v>
      </c>
    </row>
    <row r="153" spans="2:4" ht="14.25" customHeight="1" x14ac:dyDescent="0.35">
      <c r="B153" s="27" t="s">
        <v>103</v>
      </c>
      <c r="C153" s="21" t="s">
        <v>205</v>
      </c>
      <c r="D153" s="28">
        <v>1000</v>
      </c>
    </row>
    <row r="154" spans="2:4" ht="14.25" customHeight="1" x14ac:dyDescent="0.35">
      <c r="B154" s="27" t="s">
        <v>92</v>
      </c>
      <c r="C154" s="21" t="s">
        <v>207</v>
      </c>
      <c r="D154" s="28">
        <v>1000</v>
      </c>
    </row>
    <row r="155" spans="2:4" ht="14.25" customHeight="1" x14ac:dyDescent="0.35">
      <c r="B155" s="27" t="s">
        <v>103</v>
      </c>
      <c r="C155" s="21" t="s">
        <v>205</v>
      </c>
      <c r="D155" s="28">
        <v>1000</v>
      </c>
    </row>
    <row r="156" spans="2:4" ht="14.25" customHeight="1" x14ac:dyDescent="0.35">
      <c r="B156" s="27" t="s">
        <v>103</v>
      </c>
      <c r="C156" s="21" t="s">
        <v>208</v>
      </c>
      <c r="D156" s="28">
        <v>1000</v>
      </c>
    </row>
    <row r="157" spans="2:4" ht="14.25" customHeight="1" x14ac:dyDescent="0.35">
      <c r="B157" s="27" t="s">
        <v>122</v>
      </c>
      <c r="C157" s="21" t="s">
        <v>160</v>
      </c>
      <c r="D157" s="28">
        <v>1000</v>
      </c>
    </row>
    <row r="158" spans="2:4" ht="14.25" customHeight="1" x14ac:dyDescent="0.35">
      <c r="B158" s="27" t="s">
        <v>103</v>
      </c>
      <c r="C158" s="21" t="s">
        <v>141</v>
      </c>
      <c r="D158" s="28">
        <v>1000</v>
      </c>
    </row>
    <row r="159" spans="2:4" ht="14.25" customHeight="1" x14ac:dyDescent="0.35">
      <c r="B159" s="27" t="s">
        <v>122</v>
      </c>
      <c r="C159" s="21" t="s">
        <v>160</v>
      </c>
      <c r="D159" s="28">
        <v>1000</v>
      </c>
    </row>
    <row r="160" spans="2:4" ht="14.25" customHeight="1" x14ac:dyDescent="0.35">
      <c r="B160" s="27" t="s">
        <v>103</v>
      </c>
      <c r="C160" s="21" t="s">
        <v>206</v>
      </c>
      <c r="D160" s="28">
        <v>1000</v>
      </c>
    </row>
    <row r="161" spans="2:4" ht="14.25" customHeight="1" x14ac:dyDescent="0.35">
      <c r="B161" s="27" t="s">
        <v>103</v>
      </c>
      <c r="C161" s="21" t="s">
        <v>105</v>
      </c>
      <c r="D161" s="28">
        <v>1000</v>
      </c>
    </row>
    <row r="162" spans="2:4" ht="14.25" customHeight="1" x14ac:dyDescent="0.35">
      <c r="B162" s="27" t="s">
        <v>103</v>
      </c>
      <c r="C162" s="21" t="s">
        <v>115</v>
      </c>
      <c r="D162" s="28">
        <v>1000</v>
      </c>
    </row>
    <row r="163" spans="2:4" ht="14.25" customHeight="1" x14ac:dyDescent="0.35">
      <c r="B163" s="27" t="s">
        <v>131</v>
      </c>
      <c r="C163" s="21" t="s">
        <v>128</v>
      </c>
      <c r="D163" s="28">
        <v>10000</v>
      </c>
    </row>
    <row r="164" spans="2:4" ht="14.25" customHeight="1" x14ac:dyDescent="0.35">
      <c r="B164" s="27" t="s">
        <v>89</v>
      </c>
      <c r="C164" s="21" t="s">
        <v>209</v>
      </c>
      <c r="D164" s="28">
        <v>700000</v>
      </c>
    </row>
    <row r="165" spans="2:4" ht="14.25" customHeight="1" x14ac:dyDescent="0.35">
      <c r="B165" s="27" t="s">
        <v>103</v>
      </c>
      <c r="C165" s="21" t="s">
        <v>105</v>
      </c>
      <c r="D165" s="28">
        <v>500000</v>
      </c>
    </row>
    <row r="166" spans="2:4" ht="14.25" customHeight="1" x14ac:dyDescent="0.35">
      <c r="B166" s="27" t="s">
        <v>103</v>
      </c>
      <c r="C166" s="21" t="s">
        <v>205</v>
      </c>
      <c r="D166" s="28">
        <v>100000</v>
      </c>
    </row>
    <row r="167" spans="2:4" ht="14.25" customHeight="1" x14ac:dyDescent="0.35">
      <c r="B167" s="27" t="s">
        <v>89</v>
      </c>
      <c r="C167" s="21" t="s">
        <v>209</v>
      </c>
      <c r="D167" s="28">
        <v>100000</v>
      </c>
    </row>
    <row r="168" spans="2:4" ht="14.25" customHeight="1" x14ac:dyDescent="0.35">
      <c r="B168" s="27" t="s">
        <v>103</v>
      </c>
      <c r="C168" s="21" t="s">
        <v>206</v>
      </c>
      <c r="D168" s="28">
        <v>5100</v>
      </c>
    </row>
    <row r="169" spans="2:4" ht="14.25" customHeight="1" x14ac:dyDescent="0.35">
      <c r="B169" s="27" t="s">
        <v>103</v>
      </c>
      <c r="C169" s="21" t="s">
        <v>105</v>
      </c>
      <c r="D169" s="28">
        <v>250000</v>
      </c>
    </row>
    <row r="170" spans="2:4" ht="14.25" customHeight="1" x14ac:dyDescent="0.35">
      <c r="B170" s="27" t="s">
        <v>103</v>
      </c>
      <c r="C170" s="21" t="s">
        <v>208</v>
      </c>
      <c r="D170" s="28">
        <v>50000</v>
      </c>
    </row>
    <row r="171" spans="2:4" ht="14.25" customHeight="1" x14ac:dyDescent="0.35">
      <c r="B171" s="27" t="s">
        <v>103</v>
      </c>
      <c r="C171" s="21" t="s">
        <v>210</v>
      </c>
      <c r="D171" s="28">
        <v>60000</v>
      </c>
    </row>
    <row r="172" spans="2:4" ht="14.25" customHeight="1" x14ac:dyDescent="0.35">
      <c r="B172" s="27" t="s">
        <v>103</v>
      </c>
      <c r="C172" s="21" t="s">
        <v>115</v>
      </c>
      <c r="D172" s="28">
        <v>40000</v>
      </c>
    </row>
    <row r="173" spans="2:4" ht="14.25" customHeight="1" x14ac:dyDescent="0.35">
      <c r="B173" s="27" t="s">
        <v>131</v>
      </c>
      <c r="C173" s="21" t="s">
        <v>115</v>
      </c>
      <c r="D173" s="28">
        <v>100000</v>
      </c>
    </row>
    <row r="174" spans="2:4" ht="14.25" customHeight="1" x14ac:dyDescent="0.35">
      <c r="B174" s="27" t="s">
        <v>103</v>
      </c>
      <c r="C174" s="21" t="s">
        <v>115</v>
      </c>
      <c r="D174" s="28">
        <v>95000</v>
      </c>
    </row>
    <row r="175" spans="2:4" ht="14.25" customHeight="1" x14ac:dyDescent="0.35">
      <c r="B175" s="27" t="s">
        <v>103</v>
      </c>
      <c r="C175" s="21" t="s">
        <v>115</v>
      </c>
      <c r="D175" s="28">
        <v>100100</v>
      </c>
    </row>
    <row r="176" spans="2:4" ht="14.25" customHeight="1" x14ac:dyDescent="0.35">
      <c r="B176" s="27" t="s">
        <v>131</v>
      </c>
      <c r="C176" s="21" t="s">
        <v>105</v>
      </c>
      <c r="D176" s="28">
        <v>300000</v>
      </c>
    </row>
    <row r="177" spans="2:4" ht="14.25" customHeight="1" x14ac:dyDescent="0.35">
      <c r="B177" s="27" t="s">
        <v>103</v>
      </c>
      <c r="C177" s="21" t="s">
        <v>115</v>
      </c>
      <c r="D177" s="28">
        <v>100000</v>
      </c>
    </row>
    <row r="178" spans="2:4" ht="14.25" customHeight="1" x14ac:dyDescent="0.35">
      <c r="B178" s="27" t="s">
        <v>103</v>
      </c>
      <c r="C178" s="21" t="s">
        <v>141</v>
      </c>
      <c r="D178" s="28">
        <v>100000</v>
      </c>
    </row>
    <row r="179" spans="2:4" ht="14.25" customHeight="1" x14ac:dyDescent="0.35">
      <c r="B179" s="27" t="s">
        <v>131</v>
      </c>
      <c r="C179" s="21" t="s">
        <v>115</v>
      </c>
      <c r="D179" s="28">
        <v>100000</v>
      </c>
    </row>
    <row r="180" spans="2:4" ht="14.25" customHeight="1" x14ac:dyDescent="0.35">
      <c r="B180" s="27" t="s">
        <v>103</v>
      </c>
      <c r="C180" s="21" t="s">
        <v>205</v>
      </c>
      <c r="D180" s="28">
        <v>100000</v>
      </c>
    </row>
    <row r="181" spans="2:4" ht="14.25" customHeight="1" x14ac:dyDescent="0.35">
      <c r="B181" s="27" t="s">
        <v>103</v>
      </c>
      <c r="C181" s="21" t="s">
        <v>205</v>
      </c>
      <c r="D181" s="28">
        <v>200000</v>
      </c>
    </row>
    <row r="182" spans="2:4" ht="14.25" customHeight="1" x14ac:dyDescent="0.35">
      <c r="B182" s="27" t="s">
        <v>103</v>
      </c>
      <c r="C182" s="21" t="s">
        <v>210</v>
      </c>
      <c r="D182" s="28">
        <v>45000</v>
      </c>
    </row>
    <row r="183" spans="2:4" ht="14.25" customHeight="1" x14ac:dyDescent="0.35">
      <c r="B183" s="27" t="s">
        <v>131</v>
      </c>
      <c r="C183" s="21" t="s">
        <v>205</v>
      </c>
      <c r="D183" s="28">
        <v>40000</v>
      </c>
    </row>
    <row r="184" spans="2:4" ht="14.25" customHeight="1" x14ac:dyDescent="0.35">
      <c r="B184" s="27" t="s">
        <v>103</v>
      </c>
      <c r="C184" s="21" t="s">
        <v>205</v>
      </c>
      <c r="D184" s="28">
        <v>40000</v>
      </c>
    </row>
    <row r="185" spans="2:4" ht="14.25" customHeight="1" x14ac:dyDescent="0.35">
      <c r="B185" s="27" t="s">
        <v>103</v>
      </c>
      <c r="C185" s="21" t="s">
        <v>205</v>
      </c>
      <c r="D185" s="28">
        <v>20000</v>
      </c>
    </row>
    <row r="186" spans="2:4" ht="14.25" customHeight="1" x14ac:dyDescent="0.35">
      <c r="B186" s="27" t="s">
        <v>103</v>
      </c>
      <c r="C186" s="21" t="s">
        <v>160</v>
      </c>
      <c r="D186" s="28">
        <v>40000</v>
      </c>
    </row>
    <row r="187" spans="2:4" ht="14.25" customHeight="1" x14ac:dyDescent="0.35">
      <c r="B187" s="27" t="s">
        <v>103</v>
      </c>
      <c r="C187" s="21" t="s">
        <v>205</v>
      </c>
      <c r="D187" s="28">
        <v>40000</v>
      </c>
    </row>
    <row r="188" spans="2:4" ht="14.25" customHeight="1" x14ac:dyDescent="0.35">
      <c r="B188" s="27" t="s">
        <v>103</v>
      </c>
      <c r="C188" s="21" t="s">
        <v>210</v>
      </c>
      <c r="D188" s="28">
        <v>40000</v>
      </c>
    </row>
    <row r="189" spans="2:4" ht="14.25" customHeight="1" x14ac:dyDescent="0.35">
      <c r="B189" s="27" t="s">
        <v>131</v>
      </c>
      <c r="C189" s="21" t="s">
        <v>160</v>
      </c>
      <c r="D189" s="28">
        <v>40000</v>
      </c>
    </row>
    <row r="190" spans="2:4" ht="14.25" customHeight="1" x14ac:dyDescent="0.35">
      <c r="B190" s="27" t="s">
        <v>103</v>
      </c>
      <c r="C190" s="21" t="s">
        <v>211</v>
      </c>
      <c r="D190" s="28">
        <v>40000</v>
      </c>
    </row>
    <row r="191" spans="2:4" ht="14.25" customHeight="1" x14ac:dyDescent="0.35">
      <c r="B191" s="27" t="s">
        <v>103</v>
      </c>
      <c r="C191" s="21" t="s">
        <v>205</v>
      </c>
      <c r="D191" s="28">
        <v>20000</v>
      </c>
    </row>
    <row r="192" spans="2:4" ht="14.25" customHeight="1" x14ac:dyDescent="0.35">
      <c r="B192" s="27" t="s">
        <v>103</v>
      </c>
      <c r="C192" s="21" t="s">
        <v>115</v>
      </c>
      <c r="D192" s="28">
        <v>40000</v>
      </c>
    </row>
    <row r="193" spans="2:4" ht="14.25" customHeight="1" x14ac:dyDescent="0.35">
      <c r="B193" s="27" t="s">
        <v>122</v>
      </c>
      <c r="C193" s="21" t="s">
        <v>128</v>
      </c>
      <c r="D193" s="28">
        <v>40000</v>
      </c>
    </row>
    <row r="194" spans="2:4" ht="14.25" customHeight="1" x14ac:dyDescent="0.35">
      <c r="B194" s="27" t="s">
        <v>103</v>
      </c>
      <c r="C194" s="21" t="s">
        <v>205</v>
      </c>
      <c r="D194" s="28">
        <v>190000</v>
      </c>
    </row>
    <row r="195" spans="2:4" ht="14.25" customHeight="1" x14ac:dyDescent="0.35">
      <c r="B195" s="27" t="s">
        <v>103</v>
      </c>
      <c r="C195" s="21" t="s">
        <v>115</v>
      </c>
      <c r="D195" s="28">
        <v>250000</v>
      </c>
    </row>
    <row r="196" spans="2:4" ht="14.25" customHeight="1" x14ac:dyDescent="0.35">
      <c r="B196" s="27" t="s">
        <v>103</v>
      </c>
      <c r="C196" s="21" t="s">
        <v>210</v>
      </c>
      <c r="D196" s="28">
        <v>200000</v>
      </c>
    </row>
    <row r="197" spans="2:4" ht="14.25" customHeight="1" x14ac:dyDescent="0.35">
      <c r="B197" s="27" t="s">
        <v>103</v>
      </c>
      <c r="C197" s="21" t="s">
        <v>115</v>
      </c>
      <c r="D197" s="28">
        <v>1800000</v>
      </c>
    </row>
    <row r="198" spans="2:4" ht="14.25" customHeight="1" x14ac:dyDescent="0.35">
      <c r="B198" s="27" t="s">
        <v>103</v>
      </c>
      <c r="C198" s="21" t="s">
        <v>205</v>
      </c>
      <c r="D198" s="28">
        <v>60000</v>
      </c>
    </row>
    <row r="199" spans="2:4" ht="14.25" customHeight="1" x14ac:dyDescent="0.35">
      <c r="B199" s="27" t="s">
        <v>103</v>
      </c>
      <c r="C199" s="21" t="s">
        <v>115</v>
      </c>
      <c r="D199" s="28">
        <v>50000</v>
      </c>
    </row>
    <row r="200" spans="2:4" ht="14.25" customHeight="1" x14ac:dyDescent="0.35">
      <c r="B200" s="27" t="s">
        <v>103</v>
      </c>
      <c r="C200" s="21" t="s">
        <v>210</v>
      </c>
      <c r="D200" s="28">
        <v>30000</v>
      </c>
    </row>
    <row r="201" spans="2:4" ht="14.25" customHeight="1" x14ac:dyDescent="0.35">
      <c r="B201" s="27" t="s">
        <v>103</v>
      </c>
      <c r="C201" s="21" t="s">
        <v>115</v>
      </c>
      <c r="D201" s="28">
        <v>50000</v>
      </c>
    </row>
    <row r="202" spans="2:4" ht="14.25" customHeight="1" x14ac:dyDescent="0.35">
      <c r="B202" s="27" t="s">
        <v>103</v>
      </c>
      <c r="C202" s="21" t="s">
        <v>205</v>
      </c>
      <c r="D202" s="28">
        <v>48000</v>
      </c>
    </row>
    <row r="203" spans="2:4" ht="14.25" customHeight="1" x14ac:dyDescent="0.35">
      <c r="B203" s="27" t="s">
        <v>103</v>
      </c>
      <c r="C203" s="21" t="s">
        <v>205</v>
      </c>
      <c r="D203" s="28">
        <v>1500000</v>
      </c>
    </row>
    <row r="204" spans="2:4" ht="14.25" customHeight="1" x14ac:dyDescent="0.35">
      <c r="B204" s="27" t="s">
        <v>103</v>
      </c>
      <c r="C204" s="21" t="s">
        <v>206</v>
      </c>
      <c r="D204" s="28">
        <v>50000</v>
      </c>
    </row>
    <row r="205" spans="2:4" ht="14.25" customHeight="1" x14ac:dyDescent="0.35">
      <c r="B205" s="27" t="s">
        <v>103</v>
      </c>
      <c r="C205" s="21" t="s">
        <v>212</v>
      </c>
      <c r="D205" s="28">
        <v>10000000</v>
      </c>
    </row>
    <row r="206" spans="2:4" ht="14.25" customHeight="1" x14ac:dyDescent="0.35">
      <c r="B206" s="27" t="s">
        <v>103</v>
      </c>
      <c r="C206" s="21" t="s">
        <v>205</v>
      </c>
      <c r="D206" s="28">
        <v>5000000</v>
      </c>
    </row>
    <row r="207" spans="2:4" ht="14.25" customHeight="1" x14ac:dyDescent="0.35">
      <c r="B207" s="27" t="s">
        <v>103</v>
      </c>
      <c r="C207" s="21" t="s">
        <v>115</v>
      </c>
      <c r="D207" s="28">
        <v>105000</v>
      </c>
    </row>
    <row r="208" spans="2:4" ht="14.25" customHeight="1" x14ac:dyDescent="0.35">
      <c r="B208" s="27" t="s">
        <v>89</v>
      </c>
      <c r="C208" s="21" t="s">
        <v>209</v>
      </c>
      <c r="D208" s="28">
        <v>1000000</v>
      </c>
    </row>
    <row r="209" spans="2:4" ht="14.25" customHeight="1" x14ac:dyDescent="0.35">
      <c r="B209" s="27" t="s">
        <v>103</v>
      </c>
      <c r="C209" s="21" t="s">
        <v>141</v>
      </c>
      <c r="D209" s="28">
        <v>150000</v>
      </c>
    </row>
    <row r="210" spans="2:4" ht="14.25" customHeight="1" x14ac:dyDescent="0.35">
      <c r="B210" s="27" t="s">
        <v>103</v>
      </c>
      <c r="C210" s="21" t="s">
        <v>205</v>
      </c>
      <c r="D210" s="28">
        <v>50000</v>
      </c>
    </row>
    <row r="211" spans="2:4" ht="14.25" customHeight="1" x14ac:dyDescent="0.35">
      <c r="B211" s="27" t="s">
        <v>131</v>
      </c>
      <c r="C211" s="21" t="s">
        <v>160</v>
      </c>
      <c r="D211" s="28">
        <v>175000</v>
      </c>
    </row>
    <row r="212" spans="2:4" ht="14.25" customHeight="1" x14ac:dyDescent="0.35">
      <c r="B212" s="27" t="s">
        <v>103</v>
      </c>
      <c r="C212" s="21" t="s">
        <v>205</v>
      </c>
      <c r="D212" s="28">
        <v>66518</v>
      </c>
    </row>
    <row r="213" spans="2:4" ht="14.25" customHeight="1" x14ac:dyDescent="0.35">
      <c r="B213" s="27" t="s">
        <v>131</v>
      </c>
      <c r="C213" s="21" t="s">
        <v>128</v>
      </c>
      <c r="D213" s="28">
        <v>39344</v>
      </c>
    </row>
    <row r="214" spans="2:4" ht="14.25" customHeight="1" x14ac:dyDescent="0.35">
      <c r="B214" s="27" t="s">
        <v>103</v>
      </c>
      <c r="C214" s="21" t="s">
        <v>115</v>
      </c>
      <c r="D214" s="28">
        <v>66518</v>
      </c>
    </row>
    <row r="215" spans="2:4" ht="14.25" customHeight="1" x14ac:dyDescent="0.35">
      <c r="B215" s="27" t="s">
        <v>89</v>
      </c>
      <c r="C215" s="21" t="s">
        <v>213</v>
      </c>
      <c r="D215" s="28">
        <v>39344</v>
      </c>
    </row>
    <row r="216" spans="2:4" ht="14.25" customHeight="1" x14ac:dyDescent="0.35">
      <c r="B216" s="27" t="s">
        <v>103</v>
      </c>
      <c r="C216" s="21" t="s">
        <v>205</v>
      </c>
      <c r="D216" s="28">
        <v>300000</v>
      </c>
    </row>
    <row r="217" spans="2:4" ht="14.25" customHeight="1" x14ac:dyDescent="0.35">
      <c r="B217" s="27" t="s">
        <v>103</v>
      </c>
      <c r="C217" s="21" t="s">
        <v>212</v>
      </c>
      <c r="D217" s="28">
        <v>330000</v>
      </c>
    </row>
    <row r="218" spans="2:4" ht="14.25" customHeight="1" x14ac:dyDescent="0.35">
      <c r="B218" s="27" t="s">
        <v>122</v>
      </c>
      <c r="C218" s="21" t="s">
        <v>115</v>
      </c>
      <c r="D218" s="28">
        <v>4000000</v>
      </c>
    </row>
    <row r="219" spans="2:4" ht="14.25" customHeight="1" x14ac:dyDescent="0.35">
      <c r="B219" s="27" t="s">
        <v>122</v>
      </c>
      <c r="C219" s="21" t="s">
        <v>160</v>
      </c>
      <c r="D219" s="28">
        <v>200000</v>
      </c>
    </row>
    <row r="220" spans="2:4" ht="14.25" customHeight="1" x14ac:dyDescent="0.35">
      <c r="B220" s="27" t="s">
        <v>103</v>
      </c>
      <c r="C220" s="21" t="s">
        <v>205</v>
      </c>
      <c r="D220" s="28">
        <v>50000</v>
      </c>
    </row>
    <row r="221" spans="2:4" ht="14.25" customHeight="1" x14ac:dyDescent="0.35">
      <c r="B221" s="27" t="s">
        <v>103</v>
      </c>
      <c r="C221" s="21" t="s">
        <v>115</v>
      </c>
      <c r="D221" s="28">
        <v>1300000</v>
      </c>
    </row>
    <row r="222" spans="2:4" ht="14.25" customHeight="1" x14ac:dyDescent="0.35">
      <c r="B222" s="27" t="s">
        <v>103</v>
      </c>
      <c r="C222" s="21" t="s">
        <v>144</v>
      </c>
      <c r="D222" s="28">
        <v>200000</v>
      </c>
    </row>
    <row r="223" spans="2:4" ht="14.25" customHeight="1" x14ac:dyDescent="0.35">
      <c r="B223" s="27" t="s">
        <v>103</v>
      </c>
      <c r="C223" s="21" t="s">
        <v>206</v>
      </c>
      <c r="D223" s="28">
        <v>10788885</v>
      </c>
    </row>
    <row r="224" spans="2:4" ht="14.25" customHeight="1" x14ac:dyDescent="0.35">
      <c r="B224" s="27" t="s">
        <v>103</v>
      </c>
      <c r="C224" s="21" t="s">
        <v>105</v>
      </c>
      <c r="D224" s="28">
        <v>10002</v>
      </c>
    </row>
    <row r="225" spans="2:4" ht="14.25" customHeight="1" x14ac:dyDescent="0.35">
      <c r="B225" s="27" t="s">
        <v>103</v>
      </c>
      <c r="C225" s="21" t="s">
        <v>115</v>
      </c>
      <c r="D225" s="28">
        <v>7700000</v>
      </c>
    </row>
    <row r="226" spans="2:4" ht="14.25" customHeight="1" x14ac:dyDescent="0.35">
      <c r="B226" s="27" t="s">
        <v>103</v>
      </c>
      <c r="C226" s="21" t="s">
        <v>105</v>
      </c>
      <c r="D226" s="28">
        <v>345000</v>
      </c>
    </row>
    <row r="227" spans="2:4" ht="14.25" customHeight="1" x14ac:dyDescent="0.35">
      <c r="B227" s="27" t="s">
        <v>103</v>
      </c>
      <c r="C227" s="21" t="s">
        <v>205</v>
      </c>
      <c r="D227" s="28">
        <v>4900000</v>
      </c>
    </row>
    <row r="228" spans="2:4" ht="14.25" customHeight="1" x14ac:dyDescent="0.35">
      <c r="B228" s="27" t="s">
        <v>103</v>
      </c>
      <c r="C228" s="21" t="s">
        <v>115</v>
      </c>
      <c r="D228" s="28">
        <v>1500000</v>
      </c>
    </row>
    <row r="229" spans="2:4" ht="14.25" customHeight="1" x14ac:dyDescent="0.35">
      <c r="B229" s="27" t="s">
        <v>131</v>
      </c>
      <c r="C229" s="21" t="s">
        <v>165</v>
      </c>
      <c r="D229" s="28">
        <v>1713445</v>
      </c>
    </row>
    <row r="230" spans="2:4" ht="14.25" customHeight="1" x14ac:dyDescent="0.35">
      <c r="B230" s="27" t="s">
        <v>103</v>
      </c>
      <c r="C230" s="21" t="s">
        <v>115</v>
      </c>
      <c r="D230" s="28">
        <v>145000</v>
      </c>
    </row>
    <row r="231" spans="2:4" ht="14.25" customHeight="1" x14ac:dyDescent="0.35">
      <c r="B231" s="27" t="s">
        <v>131</v>
      </c>
      <c r="C231" s="21" t="s">
        <v>105</v>
      </c>
      <c r="D231" s="28">
        <v>1500000</v>
      </c>
    </row>
    <row r="232" spans="2:4" ht="14.25" customHeight="1" x14ac:dyDescent="0.35">
      <c r="B232" s="27" t="s">
        <v>103</v>
      </c>
      <c r="C232" s="21" t="s">
        <v>210</v>
      </c>
      <c r="D232" s="28">
        <v>300000</v>
      </c>
    </row>
    <row r="233" spans="2:4" ht="14.25" customHeight="1" x14ac:dyDescent="0.35">
      <c r="B233" s="27" t="s">
        <v>103</v>
      </c>
      <c r="C233" s="21" t="s">
        <v>214</v>
      </c>
      <c r="D233" s="28">
        <v>149000</v>
      </c>
    </row>
    <row r="234" spans="2:4" ht="14.25" customHeight="1" x14ac:dyDescent="0.35">
      <c r="B234" s="27" t="s">
        <v>103</v>
      </c>
      <c r="C234" s="21" t="s">
        <v>115</v>
      </c>
      <c r="D234" s="28">
        <v>200000</v>
      </c>
    </row>
    <row r="235" spans="2:4" ht="14.25" customHeight="1" x14ac:dyDescent="0.35">
      <c r="B235" s="27" t="s">
        <v>131</v>
      </c>
      <c r="C235" s="21" t="s">
        <v>160</v>
      </c>
      <c r="D235" s="28">
        <v>2000000</v>
      </c>
    </row>
    <row r="236" spans="2:4" ht="14.25" customHeight="1" x14ac:dyDescent="0.35">
      <c r="B236" s="27" t="s">
        <v>122</v>
      </c>
      <c r="C236" s="21" t="s">
        <v>165</v>
      </c>
      <c r="D236" s="28">
        <v>40000</v>
      </c>
    </row>
    <row r="237" spans="2:4" ht="14.25" customHeight="1" x14ac:dyDescent="0.35">
      <c r="B237" s="27" t="s">
        <v>103</v>
      </c>
      <c r="C237" s="21" t="s">
        <v>115</v>
      </c>
      <c r="D237" s="28">
        <v>300000</v>
      </c>
    </row>
    <row r="238" spans="2:4" ht="14.25" customHeight="1" x14ac:dyDescent="0.35">
      <c r="B238" s="27" t="s">
        <v>122</v>
      </c>
      <c r="C238" s="21" t="s">
        <v>126</v>
      </c>
      <c r="D238" s="28">
        <v>10000</v>
      </c>
    </row>
    <row r="239" spans="2:4" ht="14.25" customHeight="1" x14ac:dyDescent="0.35">
      <c r="B239" s="27" t="s">
        <v>122</v>
      </c>
      <c r="C239" s="21" t="s">
        <v>115</v>
      </c>
      <c r="D239" s="28">
        <v>100000</v>
      </c>
    </row>
    <row r="240" spans="2:4" ht="14.25" customHeight="1" x14ac:dyDescent="0.35">
      <c r="B240" s="27" t="s">
        <v>103</v>
      </c>
      <c r="C240" s="21" t="s">
        <v>206</v>
      </c>
      <c r="D240" s="28">
        <v>50000</v>
      </c>
    </row>
    <row r="241" spans="2:4" ht="14.25" customHeight="1" x14ac:dyDescent="0.35">
      <c r="B241" s="27" t="s">
        <v>103</v>
      </c>
      <c r="C241" s="21" t="s">
        <v>115</v>
      </c>
      <c r="D241" s="28">
        <v>50100</v>
      </c>
    </row>
    <row r="242" spans="2:4" ht="14.25" customHeight="1" x14ac:dyDescent="0.35">
      <c r="B242" s="27" t="s">
        <v>131</v>
      </c>
      <c r="C242" s="21" t="s">
        <v>165</v>
      </c>
      <c r="D242" s="28">
        <v>150000</v>
      </c>
    </row>
    <row r="243" spans="2:4" ht="14.25" customHeight="1" x14ac:dyDescent="0.35">
      <c r="B243" s="27" t="s">
        <v>103</v>
      </c>
      <c r="C243" s="21" t="s">
        <v>215</v>
      </c>
      <c r="D243" s="28">
        <v>25000</v>
      </c>
    </row>
    <row r="244" spans="2:4" ht="14.25" customHeight="1" x14ac:dyDescent="0.35">
      <c r="B244" s="27" t="s">
        <v>98</v>
      </c>
      <c r="C244" s="21" t="s">
        <v>96</v>
      </c>
      <c r="D244" s="28">
        <v>5000</v>
      </c>
    </row>
    <row r="245" spans="2:4" ht="14.25" customHeight="1" x14ac:dyDescent="0.35">
      <c r="B245" s="27" t="s">
        <v>98</v>
      </c>
      <c r="C245" s="21" t="s">
        <v>216</v>
      </c>
      <c r="D245" s="28">
        <v>25000</v>
      </c>
    </row>
    <row r="246" spans="2:4" ht="14.25" customHeight="1" x14ac:dyDescent="0.35">
      <c r="B246" s="27" t="s">
        <v>98</v>
      </c>
      <c r="C246" s="21" t="s">
        <v>216</v>
      </c>
      <c r="D246" s="28">
        <v>10000</v>
      </c>
    </row>
    <row r="247" spans="2:4" ht="14.25" customHeight="1" x14ac:dyDescent="0.35">
      <c r="B247" s="27" t="s">
        <v>98</v>
      </c>
      <c r="C247" s="21" t="s">
        <v>216</v>
      </c>
      <c r="D247" s="28">
        <v>400000</v>
      </c>
    </row>
    <row r="248" spans="2:4" ht="14.25" customHeight="1" x14ac:dyDescent="0.35">
      <c r="B248" s="27" t="s">
        <v>103</v>
      </c>
      <c r="C248" s="21" t="s">
        <v>105</v>
      </c>
      <c r="D248" s="28">
        <v>1400000</v>
      </c>
    </row>
    <row r="249" spans="2:4" ht="14.25" customHeight="1" x14ac:dyDescent="0.35">
      <c r="B249" s="27" t="s">
        <v>103</v>
      </c>
      <c r="C249" s="21" t="s">
        <v>115</v>
      </c>
      <c r="D249" s="28">
        <v>150000</v>
      </c>
    </row>
    <row r="250" spans="2:4" ht="14.25" customHeight="1" x14ac:dyDescent="0.35">
      <c r="B250" s="27" t="s">
        <v>103</v>
      </c>
      <c r="C250" s="21" t="s">
        <v>115</v>
      </c>
      <c r="D250" s="28">
        <v>300000</v>
      </c>
    </row>
    <row r="251" spans="2:4" ht="14.25" customHeight="1" x14ac:dyDescent="0.35">
      <c r="B251" s="27" t="s">
        <v>103</v>
      </c>
      <c r="C251" s="21" t="s">
        <v>115</v>
      </c>
      <c r="D251" s="28">
        <v>150000</v>
      </c>
    </row>
    <row r="252" spans="2:4" ht="14.25" customHeight="1" x14ac:dyDescent="0.35">
      <c r="B252" s="27" t="s">
        <v>103</v>
      </c>
      <c r="C252" s="21" t="s">
        <v>115</v>
      </c>
      <c r="D252" s="28">
        <v>100000</v>
      </c>
    </row>
    <row r="253" spans="2:4" ht="14.25" customHeight="1" x14ac:dyDescent="0.35">
      <c r="B253" s="27" t="s">
        <v>78</v>
      </c>
      <c r="C253" s="21" t="s">
        <v>107</v>
      </c>
      <c r="D253" s="28">
        <v>25000</v>
      </c>
    </row>
    <row r="254" spans="2:4" ht="14.25" customHeight="1" x14ac:dyDescent="0.35">
      <c r="B254" s="27" t="s">
        <v>78</v>
      </c>
      <c r="C254" s="21" t="s">
        <v>207</v>
      </c>
      <c r="D254" s="28">
        <v>500000</v>
      </c>
    </row>
    <row r="255" spans="2:4" ht="14.25" customHeight="1" x14ac:dyDescent="0.35">
      <c r="B255" s="27" t="s">
        <v>78</v>
      </c>
      <c r="C255" s="21" t="s">
        <v>207</v>
      </c>
      <c r="D255" s="28">
        <v>128000</v>
      </c>
    </row>
    <row r="256" spans="2:4" ht="14.25" customHeight="1" x14ac:dyDescent="0.35">
      <c r="B256" s="27" t="s">
        <v>116</v>
      </c>
      <c r="C256" s="21" t="s">
        <v>133</v>
      </c>
      <c r="D256" s="28">
        <v>300000</v>
      </c>
    </row>
    <row r="257" spans="2:4" ht="14.25" customHeight="1" x14ac:dyDescent="0.35">
      <c r="B257" s="27" t="s">
        <v>103</v>
      </c>
      <c r="C257" s="21" t="s">
        <v>217</v>
      </c>
      <c r="D257" s="28">
        <v>75000</v>
      </c>
    </row>
    <row r="258" spans="2:4" ht="14.25" customHeight="1" x14ac:dyDescent="0.35">
      <c r="B258" s="27" t="s">
        <v>78</v>
      </c>
      <c r="C258" s="21" t="s">
        <v>107</v>
      </c>
      <c r="D258" s="28">
        <v>45300</v>
      </c>
    </row>
    <row r="259" spans="2:4" ht="14.25" customHeight="1" x14ac:dyDescent="0.35">
      <c r="B259" s="27" t="s">
        <v>122</v>
      </c>
      <c r="C259" s="21" t="s">
        <v>160</v>
      </c>
      <c r="D259" s="28">
        <v>100000</v>
      </c>
    </row>
    <row r="260" spans="2:4" ht="14.25" customHeight="1" x14ac:dyDescent="0.35">
      <c r="B260" s="27" t="s">
        <v>106</v>
      </c>
      <c r="C260" s="21" t="s">
        <v>107</v>
      </c>
      <c r="D260" s="28">
        <v>200000</v>
      </c>
    </row>
    <row r="261" spans="2:4" ht="14.25" customHeight="1" x14ac:dyDescent="0.35">
      <c r="B261" s="27" t="s">
        <v>131</v>
      </c>
      <c r="C261" s="21" t="s">
        <v>165</v>
      </c>
      <c r="D261" s="28">
        <v>5000</v>
      </c>
    </row>
    <row r="262" spans="2:4" ht="14.25" customHeight="1" x14ac:dyDescent="0.35">
      <c r="B262" s="27" t="s">
        <v>103</v>
      </c>
      <c r="C262" s="21" t="s">
        <v>105</v>
      </c>
      <c r="D262" s="28">
        <v>5000</v>
      </c>
    </row>
    <row r="263" spans="2:4" ht="14.25" customHeight="1" x14ac:dyDescent="0.35">
      <c r="B263" s="27" t="s">
        <v>78</v>
      </c>
      <c r="C263" s="21" t="s">
        <v>80</v>
      </c>
      <c r="D263" s="28">
        <v>6000</v>
      </c>
    </row>
    <row r="264" spans="2:4" ht="14.25" customHeight="1" x14ac:dyDescent="0.35">
      <c r="B264" s="27" t="s">
        <v>92</v>
      </c>
      <c r="C264" s="21" t="s">
        <v>218</v>
      </c>
      <c r="D264" s="28">
        <v>6000</v>
      </c>
    </row>
    <row r="265" spans="2:4" ht="14.25" customHeight="1" x14ac:dyDescent="0.35">
      <c r="B265" s="27" t="s">
        <v>92</v>
      </c>
      <c r="C265" s="21" t="s">
        <v>218</v>
      </c>
      <c r="D265" s="28">
        <v>10000</v>
      </c>
    </row>
    <row r="266" spans="2:4" ht="14.25" customHeight="1" x14ac:dyDescent="0.35">
      <c r="B266" s="27" t="s">
        <v>92</v>
      </c>
      <c r="C266" s="21" t="s">
        <v>218</v>
      </c>
      <c r="D266" s="28">
        <v>5000</v>
      </c>
    </row>
    <row r="267" spans="2:4" ht="14.25" customHeight="1" x14ac:dyDescent="0.35">
      <c r="B267" s="27" t="s">
        <v>92</v>
      </c>
      <c r="C267" s="21" t="s">
        <v>218</v>
      </c>
      <c r="D267" s="28">
        <v>50000</v>
      </c>
    </row>
    <row r="268" spans="2:4" ht="14.25" customHeight="1" x14ac:dyDescent="0.35">
      <c r="B268" s="27" t="s">
        <v>92</v>
      </c>
      <c r="C268" s="21" t="s">
        <v>218</v>
      </c>
      <c r="D268" s="28">
        <v>50000</v>
      </c>
    </row>
    <row r="269" spans="2:4" ht="14.25" customHeight="1" x14ac:dyDescent="0.35">
      <c r="B269" s="27" t="s">
        <v>92</v>
      </c>
      <c r="C269" s="21" t="s">
        <v>218</v>
      </c>
      <c r="D269" s="28">
        <v>700000</v>
      </c>
    </row>
    <row r="270" spans="2:4" ht="14.25" customHeight="1" x14ac:dyDescent="0.35">
      <c r="B270" s="27" t="s">
        <v>91</v>
      </c>
      <c r="C270" s="21" t="s">
        <v>136</v>
      </c>
      <c r="D270" s="28">
        <v>300000</v>
      </c>
    </row>
    <row r="271" spans="2:4" ht="14.25" customHeight="1" x14ac:dyDescent="0.35">
      <c r="B271" s="27" t="s">
        <v>78</v>
      </c>
      <c r="C271" s="21" t="s">
        <v>144</v>
      </c>
      <c r="D271" s="28">
        <v>60000</v>
      </c>
    </row>
    <row r="272" spans="2:4" ht="14.25" customHeight="1" x14ac:dyDescent="0.35">
      <c r="B272" s="27" t="s">
        <v>122</v>
      </c>
      <c r="C272" s="21" t="s">
        <v>160</v>
      </c>
      <c r="D272" s="28">
        <v>60000</v>
      </c>
    </row>
    <row r="273" spans="2:4" ht="14.25" customHeight="1" x14ac:dyDescent="0.35">
      <c r="B273" s="27" t="s">
        <v>89</v>
      </c>
      <c r="C273" s="21" t="s">
        <v>221</v>
      </c>
      <c r="D273" s="28">
        <v>400000</v>
      </c>
    </row>
    <row r="274" spans="2:4" ht="14.25" customHeight="1" x14ac:dyDescent="0.35">
      <c r="B274" s="27" t="s">
        <v>122</v>
      </c>
      <c r="C274" s="21" t="s">
        <v>115</v>
      </c>
      <c r="D274" s="28">
        <v>3500000</v>
      </c>
    </row>
    <row r="275" spans="2:4" ht="14.25" customHeight="1" x14ac:dyDescent="0.35">
      <c r="B275" s="27" t="s">
        <v>91</v>
      </c>
      <c r="C275" s="21" t="s">
        <v>147</v>
      </c>
      <c r="D275" s="28">
        <v>10000</v>
      </c>
    </row>
    <row r="276" spans="2:4" ht="14.25" customHeight="1" x14ac:dyDescent="0.35">
      <c r="B276" s="27" t="s">
        <v>78</v>
      </c>
      <c r="C276" s="21" t="s">
        <v>80</v>
      </c>
      <c r="D276" s="28">
        <v>1000000</v>
      </c>
    </row>
    <row r="277" spans="2:4" ht="14.25" customHeight="1" x14ac:dyDescent="0.35">
      <c r="B277" s="27" t="s">
        <v>122</v>
      </c>
      <c r="C277" s="21" t="s">
        <v>115</v>
      </c>
      <c r="D277" s="28">
        <v>1000000</v>
      </c>
    </row>
    <row r="278" spans="2:4" ht="14.25" customHeight="1" x14ac:dyDescent="0.35">
      <c r="B278" s="27" t="s">
        <v>78</v>
      </c>
      <c r="C278" s="21" t="s">
        <v>80</v>
      </c>
      <c r="D278" s="28">
        <v>70000</v>
      </c>
    </row>
    <row r="279" spans="2:4" ht="14.25" customHeight="1" x14ac:dyDescent="0.35">
      <c r="B279" s="27" t="s">
        <v>122</v>
      </c>
      <c r="C279" s="21" t="s">
        <v>115</v>
      </c>
      <c r="D279" s="28">
        <v>500000</v>
      </c>
    </row>
    <row r="280" spans="2:4" ht="14.25" customHeight="1" x14ac:dyDescent="0.35">
      <c r="B280" s="27" t="s">
        <v>103</v>
      </c>
      <c r="C280" s="21" t="s">
        <v>115</v>
      </c>
      <c r="D280" s="28">
        <v>104000</v>
      </c>
    </row>
    <row r="281" spans="2:4" ht="14.25" customHeight="1" x14ac:dyDescent="0.35">
      <c r="B281" s="27" t="s">
        <v>122</v>
      </c>
      <c r="C281" s="21" t="s">
        <v>115</v>
      </c>
      <c r="D281" s="28">
        <v>300000</v>
      </c>
    </row>
    <row r="282" spans="2:4" ht="14.25" customHeight="1" x14ac:dyDescent="0.35">
      <c r="B282" s="27" t="s">
        <v>122</v>
      </c>
      <c r="C282" s="21" t="s">
        <v>115</v>
      </c>
      <c r="D282" s="28">
        <v>100000</v>
      </c>
    </row>
    <row r="283" spans="2:4" ht="14.25" customHeight="1" x14ac:dyDescent="0.35">
      <c r="B283" s="27" t="s">
        <v>78</v>
      </c>
      <c r="C283" s="21" t="s">
        <v>80</v>
      </c>
      <c r="D283" s="28">
        <v>600000</v>
      </c>
    </row>
    <row r="284" spans="2:4" ht="14.25" customHeight="1" x14ac:dyDescent="0.35">
      <c r="B284" s="27" t="s">
        <v>106</v>
      </c>
      <c r="C284" s="21" t="s">
        <v>107</v>
      </c>
      <c r="D284" s="28">
        <v>1000000</v>
      </c>
    </row>
    <row r="285" spans="2:4" ht="14.25" customHeight="1" x14ac:dyDescent="0.35">
      <c r="B285" s="27" t="s">
        <v>78</v>
      </c>
      <c r="C285" s="21" t="s">
        <v>107</v>
      </c>
      <c r="D285" s="28">
        <v>20000</v>
      </c>
    </row>
    <row r="286" spans="2:4" ht="14.25" customHeight="1" x14ac:dyDescent="0.35">
      <c r="B286" s="27" t="s">
        <v>122</v>
      </c>
      <c r="C286" s="21" t="s">
        <v>115</v>
      </c>
      <c r="D286" s="28">
        <v>1100000</v>
      </c>
    </row>
    <row r="287" spans="2:4" ht="14.25" customHeight="1" x14ac:dyDescent="0.35">
      <c r="B287" s="27" t="s">
        <v>122</v>
      </c>
      <c r="C287" s="21" t="s">
        <v>115</v>
      </c>
      <c r="D287" s="28">
        <v>1000000</v>
      </c>
    </row>
    <row r="288" spans="2:4" ht="14.25" customHeight="1" x14ac:dyDescent="0.35">
      <c r="B288" s="27" t="s">
        <v>78</v>
      </c>
      <c r="C288" s="21" t="s">
        <v>80</v>
      </c>
      <c r="D288" s="28">
        <v>20000</v>
      </c>
    </row>
    <row r="289" spans="2:4" ht="14.25" customHeight="1" x14ac:dyDescent="0.35">
      <c r="B289" s="27" t="s">
        <v>78</v>
      </c>
      <c r="C289" s="21" t="s">
        <v>80</v>
      </c>
      <c r="D289" s="28">
        <v>20000</v>
      </c>
    </row>
    <row r="290" spans="2:4" ht="14.25" customHeight="1" x14ac:dyDescent="0.35">
      <c r="B290" s="27" t="s">
        <v>78</v>
      </c>
      <c r="C290" s="21" t="s">
        <v>80</v>
      </c>
      <c r="D290" s="28">
        <v>20000</v>
      </c>
    </row>
    <row r="291" spans="2:4" ht="14.25" customHeight="1" x14ac:dyDescent="0.35">
      <c r="B291" s="27" t="s">
        <v>106</v>
      </c>
      <c r="C291" s="21" t="s">
        <v>119</v>
      </c>
      <c r="D291" s="28">
        <v>20000</v>
      </c>
    </row>
    <row r="292" spans="2:4" ht="14.25" customHeight="1" x14ac:dyDescent="0.35">
      <c r="B292" s="27" t="s">
        <v>92</v>
      </c>
      <c r="C292" s="21" t="s">
        <v>233</v>
      </c>
      <c r="D292" s="28">
        <v>20000</v>
      </c>
    </row>
    <row r="293" spans="2:4" ht="14.25" customHeight="1" x14ac:dyDescent="0.35">
      <c r="B293" s="27" t="s">
        <v>103</v>
      </c>
      <c r="C293" s="21" t="s">
        <v>115</v>
      </c>
      <c r="D293" s="28">
        <v>190000</v>
      </c>
    </row>
    <row r="294" spans="2:4" ht="14.25" customHeight="1" x14ac:dyDescent="0.35">
      <c r="B294" s="27" t="s">
        <v>103</v>
      </c>
      <c r="C294" s="21" t="s">
        <v>115</v>
      </c>
      <c r="D294" s="28">
        <v>160000</v>
      </c>
    </row>
    <row r="295" spans="2:4" ht="14.25" customHeight="1" x14ac:dyDescent="0.35">
      <c r="B295" s="27" t="s">
        <v>103</v>
      </c>
      <c r="C295" s="21" t="s">
        <v>115</v>
      </c>
      <c r="D295" s="28">
        <v>150000</v>
      </c>
    </row>
    <row r="296" spans="2:4" ht="14.25" customHeight="1" x14ac:dyDescent="0.35">
      <c r="B296" s="27" t="s">
        <v>92</v>
      </c>
      <c r="C296" s="21" t="s">
        <v>218</v>
      </c>
      <c r="D296" s="28">
        <v>50000</v>
      </c>
    </row>
    <row r="297" spans="2:4" ht="14.25" customHeight="1" x14ac:dyDescent="0.35">
      <c r="B297" s="27" t="s">
        <v>103</v>
      </c>
      <c r="C297" s="21" t="s">
        <v>115</v>
      </c>
      <c r="D297" s="28">
        <v>500000</v>
      </c>
    </row>
    <row r="298" spans="2:4" ht="14.25" customHeight="1" x14ac:dyDescent="0.35">
      <c r="B298" s="27" t="s">
        <v>92</v>
      </c>
      <c r="C298" s="21" t="s">
        <v>218</v>
      </c>
      <c r="D298" s="28">
        <v>1000</v>
      </c>
    </row>
    <row r="299" spans="2:4" ht="14.25" customHeight="1" x14ac:dyDescent="0.35">
      <c r="B299" s="27" t="s">
        <v>92</v>
      </c>
      <c r="C299" s="21" t="s">
        <v>218</v>
      </c>
      <c r="D299" s="28">
        <v>1000</v>
      </c>
    </row>
    <row r="300" spans="2:4" ht="14.25" customHeight="1" x14ac:dyDescent="0.35">
      <c r="B300" s="27" t="s">
        <v>92</v>
      </c>
      <c r="C300" s="21" t="s">
        <v>218</v>
      </c>
      <c r="D300" s="28">
        <v>10000</v>
      </c>
    </row>
    <row r="301" spans="2:4" ht="14.25" customHeight="1" x14ac:dyDescent="0.35">
      <c r="B301" s="27" t="s">
        <v>92</v>
      </c>
      <c r="C301" s="21" t="s">
        <v>218</v>
      </c>
      <c r="D301" s="28">
        <v>195000</v>
      </c>
    </row>
    <row r="302" spans="2:4" ht="14.25" customHeight="1" x14ac:dyDescent="0.35">
      <c r="B302" s="27" t="s">
        <v>92</v>
      </c>
      <c r="C302" s="21" t="s">
        <v>218</v>
      </c>
      <c r="D302" s="28">
        <v>100000</v>
      </c>
    </row>
    <row r="303" spans="2:4" ht="14.25" customHeight="1" x14ac:dyDescent="0.35">
      <c r="B303" s="31" t="s">
        <v>92</v>
      </c>
      <c r="C303" s="52" t="s">
        <v>218</v>
      </c>
      <c r="D303" s="53">
        <v>1000000</v>
      </c>
    </row>
    <row r="304" spans="2: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K1"/>
    <mergeCell ref="B4:D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J28" sqref="J28"/>
    </sheetView>
  </sheetViews>
  <sheetFormatPr defaultColWidth="14.453125" defaultRowHeight="15" customHeight="1" x14ac:dyDescent="0.35"/>
  <cols>
    <col min="1" max="1" width="8.7265625" customWidth="1"/>
    <col min="2" max="2" width="4.453125" customWidth="1"/>
    <col min="3" max="3" width="22" customWidth="1"/>
    <col min="4" max="4" width="13.453125" customWidth="1"/>
    <col min="5" max="5" width="14.81640625" bestFit="1" customWidth="1"/>
    <col min="6" max="26" width="8.7265625" customWidth="1"/>
  </cols>
  <sheetData>
    <row r="1" spans="1:11" ht="14.25" customHeight="1" x14ac:dyDescent="0.35">
      <c r="A1" s="110" t="s">
        <v>176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</row>
    <row r="2" spans="1:11" ht="14.25" customHeight="1" x14ac:dyDescent="0.35">
      <c r="C2" s="34" t="s">
        <v>178</v>
      </c>
      <c r="D2" s="34" t="s">
        <v>180</v>
      </c>
      <c r="E2" s="34" t="s">
        <v>181</v>
      </c>
    </row>
    <row r="3" spans="1:11" ht="14.25" customHeight="1" x14ac:dyDescent="0.35">
      <c r="C3" s="35" t="s">
        <v>182</v>
      </c>
      <c r="D3" s="36" t="s">
        <v>183</v>
      </c>
      <c r="E3" s="36" t="s">
        <v>184</v>
      </c>
    </row>
    <row r="4" spans="1:11" ht="14.25" customHeight="1" x14ac:dyDescent="0.35"/>
    <row r="5" spans="1:11" ht="14.25" customHeight="1" x14ac:dyDescent="0.35">
      <c r="D5" s="114" t="s">
        <v>185</v>
      </c>
      <c r="E5" s="113"/>
    </row>
    <row r="6" spans="1:11" ht="14.25" customHeight="1" x14ac:dyDescent="0.35">
      <c r="B6" s="8" t="s">
        <v>186</v>
      </c>
      <c r="C6" s="15" t="s">
        <v>45</v>
      </c>
      <c r="D6" s="15" t="s">
        <v>180</v>
      </c>
      <c r="E6" s="15" t="s">
        <v>181</v>
      </c>
    </row>
    <row r="7" spans="1:11" ht="14.25" customHeight="1" x14ac:dyDescent="0.35">
      <c r="B7" s="37">
        <v>1</v>
      </c>
      <c r="C7" s="11" t="s">
        <v>190</v>
      </c>
      <c r="D7" s="38" t="s">
        <v>389</v>
      </c>
      <c r="E7" s="38" t="s">
        <v>390</v>
      </c>
    </row>
    <row r="8" spans="1:11" ht="14.25" customHeight="1" x14ac:dyDescent="0.35">
      <c r="B8" s="37">
        <v>2</v>
      </c>
      <c r="C8" s="21" t="s">
        <v>191</v>
      </c>
      <c r="D8" s="38" t="s">
        <v>391</v>
      </c>
      <c r="E8" s="38" t="s">
        <v>389</v>
      </c>
    </row>
    <row r="9" spans="1:11" ht="14.25" customHeight="1" x14ac:dyDescent="0.35">
      <c r="B9" s="37">
        <v>3</v>
      </c>
      <c r="C9" s="21" t="s">
        <v>193</v>
      </c>
      <c r="D9" s="38" t="s">
        <v>392</v>
      </c>
      <c r="E9" s="38" t="s">
        <v>393</v>
      </c>
    </row>
    <row r="10" spans="1:11" ht="14.25" customHeight="1" x14ac:dyDescent="0.35">
      <c r="B10" s="37">
        <v>4</v>
      </c>
      <c r="C10" s="21" t="s">
        <v>194</v>
      </c>
      <c r="D10" s="38" t="s">
        <v>394</v>
      </c>
      <c r="E10" s="38" t="s">
        <v>395</v>
      </c>
    </row>
    <row r="11" spans="1:11" ht="14.25" customHeight="1" x14ac:dyDescent="0.35">
      <c r="B11" s="37">
        <v>5</v>
      </c>
      <c r="C11" s="21" t="s">
        <v>76</v>
      </c>
      <c r="D11" s="38" t="s">
        <v>396</v>
      </c>
      <c r="E11" s="38" t="s">
        <v>397</v>
      </c>
    </row>
    <row r="12" spans="1:11" ht="14.25" customHeight="1" x14ac:dyDescent="0.35">
      <c r="B12" s="37">
        <v>6</v>
      </c>
      <c r="C12" s="21" t="s">
        <v>196</v>
      </c>
      <c r="D12" s="38" t="s">
        <v>398</v>
      </c>
      <c r="E12" s="38" t="s">
        <v>399</v>
      </c>
    </row>
    <row r="13" spans="1:11" ht="14.25" customHeight="1" x14ac:dyDescent="0.35">
      <c r="B13" s="37">
        <v>7</v>
      </c>
      <c r="C13" s="21" t="s">
        <v>198</v>
      </c>
      <c r="D13" s="38" t="s">
        <v>400</v>
      </c>
      <c r="E13" s="38" t="s">
        <v>401</v>
      </c>
    </row>
    <row r="14" spans="1:11" ht="14.25" customHeight="1" x14ac:dyDescent="0.35">
      <c r="B14" s="37">
        <v>8</v>
      </c>
      <c r="C14" s="21" t="s">
        <v>200</v>
      </c>
      <c r="D14" s="38" t="s">
        <v>402</v>
      </c>
      <c r="E14" s="38" t="s">
        <v>403</v>
      </c>
    </row>
    <row r="15" spans="1:11" ht="14.25" customHeight="1" x14ac:dyDescent="0.35">
      <c r="B15" s="37">
        <v>9</v>
      </c>
      <c r="C15" s="21" t="s">
        <v>201</v>
      </c>
      <c r="D15" s="38" t="s">
        <v>404</v>
      </c>
      <c r="E15" s="38" t="s">
        <v>405</v>
      </c>
    </row>
    <row r="16" spans="1:11" ht="14.25" customHeight="1" x14ac:dyDescent="0.35">
      <c r="B16" s="39">
        <v>10</v>
      </c>
      <c r="C16" s="40" t="s">
        <v>203</v>
      </c>
      <c r="D16" s="41" t="s">
        <v>405</v>
      </c>
      <c r="E16" s="41" t="s">
        <v>406</v>
      </c>
    </row>
    <row r="17" spans="3:10" ht="14.25" customHeight="1" x14ac:dyDescent="0.35"/>
    <row r="18" spans="3:10" ht="14.25" customHeight="1" x14ac:dyDescent="0.35"/>
    <row r="19" spans="3:10" ht="14.25" customHeight="1" x14ac:dyDescent="0.35">
      <c r="C19" s="85" t="s">
        <v>407</v>
      </c>
    </row>
    <row r="20" spans="3:10" ht="14.25" customHeight="1" x14ac:dyDescent="0.35"/>
    <row r="21" spans="3:10" ht="14.25" customHeight="1" x14ac:dyDescent="0.35"/>
    <row r="22" spans="3:10" ht="14.25" customHeight="1" x14ac:dyDescent="0.35"/>
    <row r="23" spans="3:10" ht="14.25" customHeight="1" x14ac:dyDescent="0.35"/>
    <row r="24" spans="3:10" ht="14.25" customHeight="1" x14ac:dyDescent="0.35"/>
    <row r="25" spans="3:10" ht="14.25" customHeight="1" x14ac:dyDescent="0.35"/>
    <row r="26" spans="3:10" ht="14.25" customHeight="1" x14ac:dyDescent="0.35"/>
    <row r="27" spans="3:10" ht="14.25" customHeight="1" x14ac:dyDescent="0.35"/>
    <row r="28" spans="3:10" ht="14.25" customHeight="1" x14ac:dyDescent="0.35">
      <c r="J28" s="84" t="s">
        <v>438</v>
      </c>
    </row>
    <row r="29" spans="3:10" ht="14.25" customHeight="1" x14ac:dyDescent="0.35"/>
    <row r="30" spans="3:10" ht="14.25" customHeight="1" x14ac:dyDescent="0.35"/>
    <row r="31" spans="3:10" ht="14.25" customHeight="1" x14ac:dyDescent="0.35"/>
    <row r="32" spans="3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K1"/>
    <mergeCell ref="D5:E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showGridLines="0" workbookViewId="0">
      <selection activeCell="E10" sqref="E10"/>
    </sheetView>
  </sheetViews>
  <sheetFormatPr defaultColWidth="14.453125" defaultRowHeight="15" customHeight="1" x14ac:dyDescent="0.35"/>
  <cols>
    <col min="1" max="1" width="8.7265625" customWidth="1"/>
    <col min="2" max="2" width="14.26953125" bestFit="1" customWidth="1"/>
    <col min="3" max="3" width="21.81640625" customWidth="1"/>
    <col min="4" max="4" width="19.08984375" customWidth="1"/>
    <col min="5" max="5" width="51.54296875" bestFit="1" customWidth="1"/>
    <col min="6" max="26" width="8.7265625" customWidth="1"/>
  </cols>
  <sheetData>
    <row r="1" spans="1:9" ht="14.25" customHeight="1" x14ac:dyDescent="0.35">
      <c r="A1" s="110" t="s">
        <v>219</v>
      </c>
      <c r="B1" s="107"/>
      <c r="C1" s="107"/>
      <c r="D1" s="107"/>
      <c r="E1" s="107"/>
      <c r="F1" s="107"/>
      <c r="G1" s="107"/>
      <c r="H1" s="107"/>
      <c r="I1" s="108"/>
    </row>
    <row r="2" spans="1:9" ht="14.25" customHeight="1" x14ac:dyDescent="0.35"/>
    <row r="3" spans="1:9" ht="14.25" customHeight="1" x14ac:dyDescent="0.35">
      <c r="B3" s="115" t="s">
        <v>178</v>
      </c>
      <c r="C3" s="116"/>
      <c r="D3" s="116"/>
      <c r="E3" s="117"/>
    </row>
    <row r="4" spans="1:9" ht="14.25" customHeight="1" x14ac:dyDescent="0.35">
      <c r="B4" s="34" t="s">
        <v>222</v>
      </c>
      <c r="C4" s="34" t="s">
        <v>48</v>
      </c>
      <c r="D4" s="34" t="s">
        <v>69</v>
      </c>
      <c r="E4" s="42" t="s">
        <v>225</v>
      </c>
    </row>
    <row r="5" spans="1:9" ht="14.25" customHeight="1" x14ac:dyDescent="0.35">
      <c r="B5" s="45" t="s">
        <v>78</v>
      </c>
      <c r="C5" s="45" t="s">
        <v>80</v>
      </c>
      <c r="D5" s="45" t="s">
        <v>163</v>
      </c>
      <c r="E5" s="47" t="s">
        <v>228</v>
      </c>
    </row>
    <row r="6" spans="1:9" ht="14.25" customHeight="1" x14ac:dyDescent="0.35"/>
    <row r="7" spans="1:9" ht="14.25" customHeight="1" x14ac:dyDescent="0.35">
      <c r="B7" s="48" t="s">
        <v>222</v>
      </c>
      <c r="C7" s="49" t="s">
        <v>48</v>
      </c>
      <c r="D7" s="49" t="s">
        <v>69</v>
      </c>
      <c r="E7" s="50" t="s">
        <v>225</v>
      </c>
    </row>
    <row r="8" spans="1:9" ht="14.25" customHeight="1" x14ac:dyDescent="0.35">
      <c r="B8" s="27" t="s">
        <v>78</v>
      </c>
      <c r="C8" s="21" t="s">
        <v>80</v>
      </c>
      <c r="D8" s="21" t="s">
        <v>163</v>
      </c>
      <c r="E8" s="51" t="str">
        <f>CONCATENATE(B8,"/",C8,"/",D8)</f>
        <v>Hardware/Damaged-Malfunctioned/Printer</v>
      </c>
    </row>
    <row r="9" spans="1:9" ht="14.25" customHeight="1" x14ac:dyDescent="0.35">
      <c r="B9" s="27" t="s">
        <v>78</v>
      </c>
      <c r="C9" s="21" t="s">
        <v>87</v>
      </c>
      <c r="D9" s="21" t="s">
        <v>247</v>
      </c>
      <c r="E9" s="51" t="str">
        <f t="shared" ref="E9:E16" si="0">CONCATENATE(B9,"/",C9,"/",D9)</f>
        <v>Hardware/Complete System/Return to Inventory</v>
      </c>
    </row>
    <row r="10" spans="1:9" ht="14.25" customHeight="1" x14ac:dyDescent="0.35">
      <c r="B10" s="27" t="s">
        <v>78</v>
      </c>
      <c r="C10" s="21" t="s">
        <v>90</v>
      </c>
      <c r="D10" s="21" t="s">
        <v>109</v>
      </c>
      <c r="E10" s="51" t="str">
        <f t="shared" si="0"/>
        <v>Hardware/Usage/iPad</v>
      </c>
    </row>
    <row r="11" spans="1:9" ht="14.25" customHeight="1" x14ac:dyDescent="0.35">
      <c r="B11" s="27" t="s">
        <v>92</v>
      </c>
      <c r="C11" s="21" t="s">
        <v>93</v>
      </c>
      <c r="D11" s="21" t="s">
        <v>249</v>
      </c>
      <c r="E11" s="51" t="str">
        <f t="shared" si="0"/>
        <v>Off the Shelf/Windows 7/Logon</v>
      </c>
    </row>
    <row r="12" spans="1:9" ht="14.25" customHeight="1" x14ac:dyDescent="0.35">
      <c r="B12" s="27" t="s">
        <v>250</v>
      </c>
      <c r="C12" s="21" t="s">
        <v>96</v>
      </c>
      <c r="D12" s="21" t="s">
        <v>251</v>
      </c>
      <c r="E12" s="51" t="str">
        <f t="shared" si="0"/>
        <v xml:space="preserve"> No Area Given / No Sub Area Given / No SubSubArea Given </v>
      </c>
    </row>
    <row r="13" spans="1:9" ht="14.25" customHeight="1" x14ac:dyDescent="0.35">
      <c r="B13" s="27" t="s">
        <v>99</v>
      </c>
      <c r="C13" s="21" t="s">
        <v>100</v>
      </c>
      <c r="D13" s="21" t="s">
        <v>252</v>
      </c>
      <c r="E13" s="51" t="str">
        <f t="shared" si="0"/>
        <v>iPad - Hardware/Lost/Stolen/Miscellaneous Items</v>
      </c>
    </row>
    <row r="14" spans="1:9" ht="14.25" customHeight="1" x14ac:dyDescent="0.35">
      <c r="B14" s="27" t="s">
        <v>103</v>
      </c>
      <c r="C14" s="21" t="s">
        <v>105</v>
      </c>
      <c r="D14" s="21" t="s">
        <v>253</v>
      </c>
      <c r="E14" s="51" t="str">
        <f t="shared" si="0"/>
        <v>Veeva/Calls/Missing</v>
      </c>
    </row>
    <row r="15" spans="1:9" ht="14.25" customHeight="1" x14ac:dyDescent="0.35">
      <c r="B15" s="27" t="s">
        <v>99</v>
      </c>
      <c r="C15" s="21" t="s">
        <v>107</v>
      </c>
      <c r="D15" s="21" t="s">
        <v>109</v>
      </c>
      <c r="E15" s="51" t="str">
        <f t="shared" si="0"/>
        <v>iPad - Hardware/Request/iPad</v>
      </c>
    </row>
    <row r="16" spans="1:9" ht="14.25" customHeight="1" x14ac:dyDescent="0.35">
      <c r="B16" s="54" t="s">
        <v>103</v>
      </c>
      <c r="C16" s="40" t="s">
        <v>105</v>
      </c>
      <c r="D16" s="40" t="s">
        <v>255</v>
      </c>
      <c r="E16" s="51" t="str">
        <f t="shared" si="0"/>
        <v>Veeva/Calls/Expenses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I1"/>
    <mergeCell ref="B3:E3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1000"/>
  <sheetViews>
    <sheetView showGridLines="0" workbookViewId="0">
      <selection activeCell="M9" sqref="M9"/>
    </sheetView>
  </sheetViews>
  <sheetFormatPr defaultColWidth="14.453125" defaultRowHeight="15" customHeight="1" x14ac:dyDescent="0.35"/>
  <cols>
    <col min="1" max="1" width="8.7265625" customWidth="1"/>
    <col min="2" max="2" width="28.26953125" customWidth="1"/>
    <col min="3" max="4" width="8.7265625" customWidth="1"/>
    <col min="5" max="5" width="17.7265625" customWidth="1"/>
    <col min="6" max="26" width="8.7265625" customWidth="1"/>
  </cols>
  <sheetData>
    <row r="1" spans="2:18" ht="14.25" customHeight="1" x14ac:dyDescent="0.35">
      <c r="B1" s="118" t="s">
        <v>220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/>
    </row>
    <row r="2" spans="2:18" ht="14.25" customHeight="1" x14ac:dyDescent="0.35"/>
    <row r="3" spans="2:18" ht="14.25" customHeight="1" x14ac:dyDescent="0.35">
      <c r="B3" s="42" t="s">
        <v>21</v>
      </c>
    </row>
    <row r="4" spans="2:18" ht="14.25" customHeight="1" x14ac:dyDescent="0.35">
      <c r="B4" s="42" t="s">
        <v>223</v>
      </c>
      <c r="E4" s="43" t="s">
        <v>224</v>
      </c>
      <c r="F4" s="44">
        <f>COUNT(B5:B27)</f>
        <v>1</v>
      </c>
    </row>
    <row r="5" spans="2:18" ht="14.25" customHeight="1" x14ac:dyDescent="0.35">
      <c r="B5" s="46" t="s">
        <v>226</v>
      </c>
      <c r="E5" s="43" t="s">
        <v>227</v>
      </c>
      <c r="F5" s="44">
        <f>COUNTBLANK(B5:B27)</f>
        <v>3</v>
      </c>
    </row>
    <row r="6" spans="2:18" ht="14.25" customHeight="1" x14ac:dyDescent="0.35">
      <c r="B6" s="46">
        <v>25458</v>
      </c>
      <c r="E6" s="43" t="s">
        <v>229</v>
      </c>
      <c r="F6" s="44">
        <f>COUNTA(B5:B27)</f>
        <v>20</v>
      </c>
    </row>
    <row r="7" spans="2:18" ht="14.25" customHeight="1" x14ac:dyDescent="0.35">
      <c r="B7" s="46" t="s">
        <v>230</v>
      </c>
    </row>
    <row r="8" spans="2:18" ht="14.25" customHeight="1" x14ac:dyDescent="0.35">
      <c r="B8" s="46" t="s">
        <v>231</v>
      </c>
    </row>
    <row r="9" spans="2:18" ht="14.25" customHeight="1" x14ac:dyDescent="0.35">
      <c r="B9" s="46"/>
    </row>
    <row r="10" spans="2:18" ht="14.25" customHeight="1" x14ac:dyDescent="0.35">
      <c r="B10" s="46" t="s">
        <v>232</v>
      </c>
    </row>
    <row r="11" spans="2:18" ht="14.25" customHeight="1" x14ac:dyDescent="0.35">
      <c r="B11" s="46" t="s">
        <v>234</v>
      </c>
    </row>
    <row r="12" spans="2:18" ht="14.25" customHeight="1" x14ac:dyDescent="0.35">
      <c r="B12" s="46"/>
    </row>
    <row r="13" spans="2:18" ht="14.25" customHeight="1" x14ac:dyDescent="0.35">
      <c r="B13" s="46" t="s">
        <v>235</v>
      </c>
    </row>
    <row r="14" spans="2:18" ht="14.25" customHeight="1" x14ac:dyDescent="0.35">
      <c r="B14" s="46" t="s">
        <v>236</v>
      </c>
    </row>
    <row r="15" spans="2:18" ht="14.25" customHeight="1" x14ac:dyDescent="0.35">
      <c r="B15" s="46" t="s">
        <v>236</v>
      </c>
    </row>
    <row r="16" spans="2:18" ht="14.25" customHeight="1" x14ac:dyDescent="0.35">
      <c r="B16" s="46" t="s">
        <v>237</v>
      </c>
    </row>
    <row r="17" spans="2:2" ht="14.25" customHeight="1" x14ac:dyDescent="0.35">
      <c r="B17" s="46" t="s">
        <v>238</v>
      </c>
    </row>
    <row r="18" spans="2:2" ht="14.25" customHeight="1" x14ac:dyDescent="0.35">
      <c r="B18" s="46" t="s">
        <v>239</v>
      </c>
    </row>
    <row r="19" spans="2:2" ht="14.25" customHeight="1" x14ac:dyDescent="0.35">
      <c r="B19" s="46" t="s">
        <v>240</v>
      </c>
    </row>
    <row r="20" spans="2:2" ht="14.25" customHeight="1" x14ac:dyDescent="0.35">
      <c r="B20" s="46" t="s">
        <v>241</v>
      </c>
    </row>
    <row r="21" spans="2:2" ht="14.25" customHeight="1" x14ac:dyDescent="0.35">
      <c r="B21" s="46" t="s">
        <v>242</v>
      </c>
    </row>
    <row r="22" spans="2:2" ht="14.25" customHeight="1" x14ac:dyDescent="0.35">
      <c r="B22" s="46" t="s">
        <v>243</v>
      </c>
    </row>
    <row r="23" spans="2:2" ht="14.25" customHeight="1" x14ac:dyDescent="0.35">
      <c r="B23" s="46" t="s">
        <v>244</v>
      </c>
    </row>
    <row r="24" spans="2:2" ht="14.25" customHeight="1" x14ac:dyDescent="0.35">
      <c r="B24" s="46" t="s">
        <v>245</v>
      </c>
    </row>
    <row r="25" spans="2:2" ht="14.25" customHeight="1" x14ac:dyDescent="0.35">
      <c r="B25" s="46"/>
    </row>
    <row r="26" spans="2:2" ht="14.25" customHeight="1" x14ac:dyDescent="0.35">
      <c r="B26" s="46" t="s">
        <v>246</v>
      </c>
    </row>
    <row r="27" spans="2:2" ht="14.25" customHeight="1" x14ac:dyDescent="0.35">
      <c r="B27" s="46" t="s">
        <v>248</v>
      </c>
    </row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1:R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showGridLines="0" topLeftCell="C1" workbookViewId="0">
      <selection activeCell="H5" sqref="H5"/>
    </sheetView>
  </sheetViews>
  <sheetFormatPr defaultColWidth="14.453125" defaultRowHeight="15" customHeight="1" x14ac:dyDescent="0.35"/>
  <cols>
    <col min="1" max="1" width="9.81640625" customWidth="1"/>
    <col min="2" max="2" width="39.26953125" customWidth="1"/>
    <col min="3" max="3" width="9.81640625" customWidth="1"/>
    <col min="4" max="4" width="11.08984375" customWidth="1"/>
    <col min="5" max="5" width="40.08984375" customWidth="1"/>
    <col min="6" max="6" width="8.7265625" customWidth="1"/>
    <col min="7" max="7" width="15.08984375" customWidth="1"/>
    <col min="8" max="8" width="32.36328125" bestFit="1" customWidth="1"/>
    <col min="9" max="9" width="40.1796875" bestFit="1" customWidth="1"/>
    <col min="10" max="26" width="8.7265625" customWidth="1"/>
  </cols>
  <sheetData>
    <row r="1" spans="1:10" ht="14.25" customHeight="1" x14ac:dyDescent="0.35">
      <c r="A1" s="110" t="s">
        <v>254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10" ht="14.25" customHeight="1" x14ac:dyDescent="0.35"/>
    <row r="3" spans="1:10" ht="14.25" customHeight="1" x14ac:dyDescent="0.35">
      <c r="A3" s="114" t="s">
        <v>256</v>
      </c>
      <c r="B3" s="112"/>
      <c r="C3" s="112"/>
      <c r="D3" s="112"/>
      <c r="E3" s="113"/>
      <c r="G3" s="111" t="s">
        <v>257</v>
      </c>
      <c r="H3" s="112"/>
      <c r="I3" s="113"/>
    </row>
    <row r="4" spans="1:10" ht="14.25" customHeight="1" x14ac:dyDescent="0.35">
      <c r="A4" s="7" t="s">
        <v>258</v>
      </c>
      <c r="B4" s="15" t="s">
        <v>45</v>
      </c>
      <c r="C4" s="15" t="s">
        <v>259</v>
      </c>
      <c r="D4" s="15" t="s">
        <v>260</v>
      </c>
      <c r="E4" s="55" t="s">
        <v>261</v>
      </c>
      <c r="G4" s="7" t="s">
        <v>258</v>
      </c>
      <c r="H4" s="8" t="s">
        <v>45</v>
      </c>
      <c r="I4" s="12" t="s">
        <v>261</v>
      </c>
    </row>
    <row r="5" spans="1:10" ht="14.25" customHeight="1" thickBot="1" x14ac:dyDescent="0.4">
      <c r="A5" s="9">
        <v>392730219</v>
      </c>
      <c r="B5" s="11" t="s">
        <v>262</v>
      </c>
      <c r="C5" s="11">
        <v>500000</v>
      </c>
      <c r="D5" s="11" t="s">
        <v>263</v>
      </c>
      <c r="E5" s="56" t="s">
        <v>264</v>
      </c>
      <c r="G5" s="57">
        <v>392733634</v>
      </c>
      <c r="H5" s="58" t="str">
        <f>VLOOKUP(G5,$A$4:$E$25,2,0)</f>
        <v>BURJOR HOMI DANDIWALA PMS</v>
      </c>
      <c r="I5" s="58" t="str">
        <f>VLOOKUP(G5,$A$4:$E$25,5,FALSE)</f>
        <v>DIRECT</v>
      </c>
    </row>
    <row r="6" spans="1:10" ht="14.25" customHeight="1" thickBot="1" x14ac:dyDescent="0.4">
      <c r="A6" s="16">
        <v>392730227</v>
      </c>
      <c r="B6" s="21" t="s">
        <v>265</v>
      </c>
      <c r="C6" s="21">
        <v>500000</v>
      </c>
      <c r="D6" s="21" t="s">
        <v>263</v>
      </c>
      <c r="E6" s="59" t="s">
        <v>264</v>
      </c>
      <c r="G6" s="16">
        <v>392733679</v>
      </c>
      <c r="H6" s="58" t="str">
        <f t="shared" ref="H6:H10" si="0">VLOOKUP(G6,$A$4:$E$25,2,0)</f>
        <v>MS.RAJANI KRISHNAMURTHY IYER</v>
      </c>
      <c r="I6" s="58" t="str">
        <f t="shared" ref="I6:I10" si="1">VLOOKUP(G6,$A$4:$E$25,5,FALSE)</f>
        <v>DIRECT</v>
      </c>
    </row>
    <row r="7" spans="1:10" ht="14.25" customHeight="1" thickBot="1" x14ac:dyDescent="0.4">
      <c r="A7" s="16">
        <v>392730235</v>
      </c>
      <c r="B7" s="21" t="s">
        <v>266</v>
      </c>
      <c r="C7" s="21">
        <v>500000</v>
      </c>
      <c r="D7" s="21" t="s">
        <v>263</v>
      </c>
      <c r="E7" s="59" t="s">
        <v>264</v>
      </c>
      <c r="G7" s="16">
        <v>392734113</v>
      </c>
      <c r="H7" s="58" t="str">
        <f t="shared" si="0"/>
        <v>LAXMI J MUNDKUR</v>
      </c>
      <c r="I7" s="58" t="str">
        <f t="shared" si="1"/>
        <v>RAMESH BISWAS M</v>
      </c>
    </row>
    <row r="8" spans="1:10" ht="14.25" customHeight="1" thickBot="1" x14ac:dyDescent="0.4">
      <c r="A8" s="16">
        <v>392733499</v>
      </c>
      <c r="B8" s="21" t="s">
        <v>267</v>
      </c>
      <c r="C8" s="21">
        <v>1600000</v>
      </c>
      <c r="D8" s="21" t="s">
        <v>268</v>
      </c>
      <c r="E8" s="59" t="s">
        <v>269</v>
      </c>
      <c r="G8" s="16">
        <v>392734156</v>
      </c>
      <c r="H8" s="58" t="str">
        <f t="shared" si="0"/>
        <v>D S INTEGRATED FINSEC PVT LTD</v>
      </c>
      <c r="I8" s="58" t="str">
        <f t="shared" si="1"/>
        <v>SANJAY SHASHIKANTBHAI MEHTA</v>
      </c>
    </row>
    <row r="9" spans="1:10" ht="14.25" customHeight="1" thickBot="1" x14ac:dyDescent="0.4">
      <c r="A9" s="16">
        <v>392733558</v>
      </c>
      <c r="B9" s="21" t="s">
        <v>270</v>
      </c>
      <c r="C9" s="21">
        <v>700000</v>
      </c>
      <c r="D9" s="21" t="s">
        <v>268</v>
      </c>
      <c r="E9" s="59" t="s">
        <v>269</v>
      </c>
      <c r="G9" s="16">
        <v>392734595</v>
      </c>
      <c r="H9" s="58" t="str">
        <f t="shared" si="0"/>
        <v>RIDDHI SIDDHI GLUCO BIOLS LIMITED</v>
      </c>
      <c r="I9" s="58" t="str">
        <f t="shared" si="1"/>
        <v>DIRECT</v>
      </c>
    </row>
    <row r="10" spans="1:10" ht="14.25" customHeight="1" x14ac:dyDescent="0.35">
      <c r="A10" s="16">
        <v>392733634</v>
      </c>
      <c r="B10" s="21" t="s">
        <v>271</v>
      </c>
      <c r="C10" s="21">
        <v>800000</v>
      </c>
      <c r="D10" s="21" t="s">
        <v>268</v>
      </c>
      <c r="E10" s="59" t="s">
        <v>269</v>
      </c>
      <c r="G10" s="60">
        <v>392730219</v>
      </c>
      <c r="H10" s="58" t="str">
        <f t="shared" si="0"/>
        <v>KEKI BURJORJI PATEL</v>
      </c>
      <c r="I10" s="58" t="str">
        <f t="shared" si="1"/>
        <v>IMPERIAL CAPITAL ADVISORS PRIVATE LIMITED</v>
      </c>
    </row>
    <row r="11" spans="1:10" ht="14.25" customHeight="1" x14ac:dyDescent="0.35">
      <c r="A11" s="16">
        <v>392733661</v>
      </c>
      <c r="B11" s="21" t="s">
        <v>272</v>
      </c>
      <c r="C11" s="21">
        <v>1300000</v>
      </c>
      <c r="D11" s="21" t="s">
        <v>268</v>
      </c>
      <c r="E11" s="59" t="s">
        <v>269</v>
      </c>
    </row>
    <row r="12" spans="1:10" ht="14.25" customHeight="1" x14ac:dyDescent="0.35">
      <c r="A12" s="16">
        <v>392733679</v>
      </c>
      <c r="B12" s="21" t="s">
        <v>273</v>
      </c>
      <c r="C12" s="21">
        <v>1300000</v>
      </c>
      <c r="D12" s="21" t="s">
        <v>268</v>
      </c>
      <c r="E12" s="59" t="s">
        <v>269</v>
      </c>
    </row>
    <row r="13" spans="1:10" ht="14.25" customHeight="1" x14ac:dyDescent="0.35">
      <c r="A13" s="16">
        <v>392733698</v>
      </c>
      <c r="B13" s="21" t="s">
        <v>274</v>
      </c>
      <c r="C13" s="21">
        <v>1500000</v>
      </c>
      <c r="D13" s="21" t="s">
        <v>268</v>
      </c>
      <c r="E13" s="59" t="s">
        <v>269</v>
      </c>
    </row>
    <row r="14" spans="1:10" ht="14.25" customHeight="1" x14ac:dyDescent="0.35">
      <c r="A14" s="16">
        <v>392734036</v>
      </c>
      <c r="B14" s="21" t="s">
        <v>275</v>
      </c>
      <c r="C14" s="21">
        <v>670000</v>
      </c>
      <c r="D14" s="21" t="s">
        <v>276</v>
      </c>
      <c r="E14" s="59" t="s">
        <v>277</v>
      </c>
    </row>
    <row r="15" spans="1:10" ht="14.25" customHeight="1" x14ac:dyDescent="0.35">
      <c r="A15" s="16">
        <v>392734045</v>
      </c>
      <c r="B15" s="21" t="s">
        <v>278</v>
      </c>
      <c r="C15" s="21">
        <v>50000</v>
      </c>
      <c r="D15" s="21" t="s">
        <v>279</v>
      </c>
      <c r="E15" s="59" t="s">
        <v>280</v>
      </c>
    </row>
    <row r="16" spans="1:10" ht="14.25" customHeight="1" x14ac:dyDescent="0.35">
      <c r="A16" s="16">
        <v>392734113</v>
      </c>
      <c r="B16" s="21" t="s">
        <v>281</v>
      </c>
      <c r="C16" s="21">
        <v>1000000</v>
      </c>
      <c r="D16" s="21" t="s">
        <v>282</v>
      </c>
      <c r="E16" s="59" t="s">
        <v>283</v>
      </c>
    </row>
    <row r="17" spans="1:5" ht="14.25" customHeight="1" x14ac:dyDescent="0.35">
      <c r="A17" s="16">
        <v>392734127</v>
      </c>
      <c r="B17" s="21" t="s">
        <v>284</v>
      </c>
      <c r="C17" s="21">
        <v>700000</v>
      </c>
      <c r="D17" s="21" t="s">
        <v>285</v>
      </c>
      <c r="E17" s="59"/>
    </row>
    <row r="18" spans="1:5" ht="14.25" customHeight="1" x14ac:dyDescent="0.35">
      <c r="A18" s="16">
        <v>392734141</v>
      </c>
      <c r="B18" s="21" t="s">
        <v>286</v>
      </c>
      <c r="C18" s="21">
        <v>1500000</v>
      </c>
      <c r="D18" s="21" t="s">
        <v>287</v>
      </c>
      <c r="E18" s="59" t="s">
        <v>288</v>
      </c>
    </row>
    <row r="19" spans="1:5" ht="14.25" customHeight="1" x14ac:dyDescent="0.35">
      <c r="A19" s="16">
        <v>392734156</v>
      </c>
      <c r="B19" s="21" t="s">
        <v>289</v>
      </c>
      <c r="C19" s="21">
        <v>4300000</v>
      </c>
      <c r="D19" s="21" t="s">
        <v>290</v>
      </c>
      <c r="E19" s="59" t="s">
        <v>291</v>
      </c>
    </row>
    <row r="20" spans="1:5" ht="14.25" customHeight="1" x14ac:dyDescent="0.35">
      <c r="A20" s="16">
        <v>392734178</v>
      </c>
      <c r="B20" s="21" t="s">
        <v>292</v>
      </c>
      <c r="C20" s="21">
        <v>5700000</v>
      </c>
      <c r="D20" s="21" t="s">
        <v>290</v>
      </c>
      <c r="E20" s="59" t="s">
        <v>291</v>
      </c>
    </row>
    <row r="21" spans="1:5" ht="14.25" customHeight="1" x14ac:dyDescent="0.35">
      <c r="A21" s="16">
        <v>392734208</v>
      </c>
      <c r="B21" s="21" t="s">
        <v>293</v>
      </c>
      <c r="C21" s="21">
        <v>500000000</v>
      </c>
      <c r="D21" s="21" t="s">
        <v>268</v>
      </c>
      <c r="E21" s="59" t="s">
        <v>269</v>
      </c>
    </row>
    <row r="22" spans="1:5" ht="14.25" customHeight="1" x14ac:dyDescent="0.35">
      <c r="A22" s="16">
        <v>392734394</v>
      </c>
      <c r="B22" s="21" t="s">
        <v>294</v>
      </c>
      <c r="C22" s="21">
        <v>4000000</v>
      </c>
      <c r="D22" s="21" t="s">
        <v>295</v>
      </c>
      <c r="E22" s="59" t="s">
        <v>296</v>
      </c>
    </row>
    <row r="23" spans="1:5" ht="14.25" customHeight="1" x14ac:dyDescent="0.35">
      <c r="A23" s="16">
        <v>392734485</v>
      </c>
      <c r="B23" s="21" t="s">
        <v>297</v>
      </c>
      <c r="C23" s="21">
        <v>80000000</v>
      </c>
      <c r="D23" s="21" t="s">
        <v>298</v>
      </c>
      <c r="E23" s="59" t="s">
        <v>299</v>
      </c>
    </row>
    <row r="24" spans="1:5" ht="14.25" customHeight="1" x14ac:dyDescent="0.35">
      <c r="A24" s="16">
        <v>392734501</v>
      </c>
      <c r="B24" s="21" t="s">
        <v>297</v>
      </c>
      <c r="C24" s="21">
        <v>20000000</v>
      </c>
      <c r="D24" s="21" t="s">
        <v>298</v>
      </c>
      <c r="E24" s="59" t="s">
        <v>299</v>
      </c>
    </row>
    <row r="25" spans="1:5" ht="14.25" customHeight="1" x14ac:dyDescent="0.35">
      <c r="A25" s="16">
        <v>392734595</v>
      </c>
      <c r="B25" s="21" t="s">
        <v>300</v>
      </c>
      <c r="C25" s="21">
        <v>10000000</v>
      </c>
      <c r="D25" s="21" t="s">
        <v>268</v>
      </c>
      <c r="E25" s="59" t="s">
        <v>269</v>
      </c>
    </row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:J1"/>
    <mergeCell ref="A3:E3"/>
    <mergeCell ref="G3:I3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>
      <selection activeCell="D3" sqref="D3"/>
    </sheetView>
  </sheetViews>
  <sheetFormatPr defaultColWidth="14.453125" defaultRowHeight="15" customHeight="1" x14ac:dyDescent="0.35"/>
  <cols>
    <col min="1" max="1" width="8.7265625" customWidth="1"/>
    <col min="2" max="2" width="17.26953125" customWidth="1"/>
    <col min="3" max="3" width="19.26953125" customWidth="1"/>
    <col min="4" max="4" width="18.26953125" customWidth="1"/>
    <col min="5" max="5" width="15.7265625" customWidth="1"/>
    <col min="6" max="26" width="8.7265625" customWidth="1"/>
  </cols>
  <sheetData>
    <row r="1" spans="1:7" ht="14.25" customHeight="1" x14ac:dyDescent="0.35">
      <c r="A1" s="110" t="s">
        <v>301</v>
      </c>
      <c r="B1" s="107"/>
      <c r="C1" s="107"/>
      <c r="D1" s="107"/>
      <c r="E1" s="107"/>
      <c r="F1" s="107"/>
      <c r="G1" s="108"/>
    </row>
    <row r="2" spans="1:7" ht="14.25" customHeight="1" x14ac:dyDescent="0.35"/>
    <row r="3" spans="1:7" ht="14.25" customHeight="1" x14ac:dyDescent="0.35">
      <c r="B3" s="61" t="s">
        <v>302</v>
      </c>
      <c r="D3" s="62" t="s">
        <v>302</v>
      </c>
    </row>
    <row r="4" spans="1:7" ht="14.25" customHeight="1" x14ac:dyDescent="0.35">
      <c r="B4" s="63" t="s">
        <v>115</v>
      </c>
    </row>
    <row r="5" spans="1:7" ht="14.25" customHeight="1" x14ac:dyDescent="0.35">
      <c r="B5" s="63" t="s">
        <v>211</v>
      </c>
    </row>
    <row r="6" spans="1:7" ht="14.25" customHeight="1" x14ac:dyDescent="0.35">
      <c r="B6" s="63" t="s">
        <v>208</v>
      </c>
    </row>
    <row r="7" spans="1:7" ht="14.25" customHeight="1" x14ac:dyDescent="0.35">
      <c r="B7" s="63" t="s">
        <v>105</v>
      </c>
    </row>
    <row r="8" spans="1:7" ht="14.25" customHeight="1" x14ac:dyDescent="0.35">
      <c r="B8" s="63" t="s">
        <v>217</v>
      </c>
    </row>
    <row r="9" spans="1:7" ht="14.25" customHeight="1" x14ac:dyDescent="0.35">
      <c r="B9" s="63" t="s">
        <v>210</v>
      </c>
    </row>
    <row r="10" spans="1:7" ht="14.25" customHeight="1" x14ac:dyDescent="0.35">
      <c r="B10" s="63" t="s">
        <v>144</v>
      </c>
    </row>
    <row r="11" spans="1:7" ht="14.25" customHeight="1" x14ac:dyDescent="0.35">
      <c r="B11" s="63" t="s">
        <v>160</v>
      </c>
    </row>
    <row r="12" spans="1:7" ht="14.25" customHeight="1" x14ac:dyDescent="0.35">
      <c r="B12" s="63" t="s">
        <v>124</v>
      </c>
    </row>
    <row r="13" spans="1:7" ht="14.25" customHeight="1" x14ac:dyDescent="0.35">
      <c r="B13" s="63" t="s">
        <v>215</v>
      </c>
    </row>
    <row r="14" spans="1:7" ht="14.25" customHeight="1" x14ac:dyDescent="0.35">
      <c r="B14" s="63" t="s">
        <v>177</v>
      </c>
    </row>
    <row r="15" spans="1:7" ht="14.25" customHeight="1" x14ac:dyDescent="0.35">
      <c r="B15" s="63" t="s">
        <v>206</v>
      </c>
    </row>
    <row r="16" spans="1:7" ht="14.25" customHeight="1" x14ac:dyDescent="0.35">
      <c r="B16" s="63" t="s">
        <v>142</v>
      </c>
    </row>
    <row r="17" spans="2:2" ht="14.25" customHeight="1" x14ac:dyDescent="0.35">
      <c r="B17" s="63" t="s">
        <v>141</v>
      </c>
    </row>
    <row r="18" spans="2:2" ht="14.25" customHeight="1" x14ac:dyDescent="0.35">
      <c r="B18" s="63" t="s">
        <v>214</v>
      </c>
    </row>
    <row r="19" spans="2:2" ht="14.25" customHeight="1" x14ac:dyDescent="0.35">
      <c r="B19" s="63" t="s">
        <v>205</v>
      </c>
    </row>
    <row r="20" spans="2:2" ht="14.25" customHeight="1" x14ac:dyDescent="0.35">
      <c r="B20" s="64" t="s">
        <v>212</v>
      </c>
    </row>
    <row r="21" spans="2:2" ht="14.25" customHeight="1" x14ac:dyDescent="0.35"/>
    <row r="22" spans="2:2" ht="14.25" customHeight="1" x14ac:dyDescent="0.35"/>
    <row r="23" spans="2:2" ht="14.25" customHeight="1" x14ac:dyDescent="0.35"/>
    <row r="24" spans="2:2" ht="14.25" customHeight="1" x14ac:dyDescent="0.35"/>
    <row r="25" spans="2:2" ht="14.25" customHeight="1" x14ac:dyDescent="0.35"/>
    <row r="26" spans="2:2" ht="14.25" customHeight="1" x14ac:dyDescent="0.35"/>
    <row r="27" spans="2:2" ht="14.25" customHeight="1" x14ac:dyDescent="0.35"/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G1"/>
  </mergeCells>
  <dataValidations count="2">
    <dataValidation type="list" allowBlank="1" showInputMessage="1" showErrorMessage="1" sqref="D4:D20" xr:uid="{E6FDF19B-D10D-40DD-B520-A8D2A91A5FF6}">
      <formula1>$B$3:$B$20</formula1>
    </dataValidation>
    <dataValidation type="list" allowBlank="1" showInputMessage="1" showErrorMessage="1" sqref="D3" xr:uid="{C86517D8-8DB9-45C8-9D5F-5A37C07CD729}">
      <formula1>$B$4:$B$20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showGridLines="0" workbookViewId="0">
      <selection sqref="A1:H1"/>
    </sheetView>
  </sheetViews>
  <sheetFormatPr defaultColWidth="14.453125" defaultRowHeight="15" customHeight="1" x14ac:dyDescent="0.35"/>
  <cols>
    <col min="1" max="1" width="8.7265625" customWidth="1"/>
    <col min="2" max="2" width="6.453125" customWidth="1"/>
    <col min="3" max="3" width="14.26953125" customWidth="1"/>
    <col min="4" max="4" width="22" customWidth="1"/>
    <col min="5" max="5" width="11.453125" customWidth="1"/>
    <col min="6" max="6" width="14.7265625" customWidth="1"/>
    <col min="7" max="7" width="19.08984375" bestFit="1" customWidth="1"/>
    <col min="8" max="8" width="15.26953125" bestFit="1" customWidth="1"/>
    <col min="9" max="9" width="5.36328125" bestFit="1" customWidth="1"/>
    <col min="10" max="10" width="10.7265625" bestFit="1" customWidth="1"/>
    <col min="11" max="26" width="8.7265625" customWidth="1"/>
  </cols>
  <sheetData>
    <row r="1" spans="1:10" ht="14.25" customHeight="1" x14ac:dyDescent="0.35">
      <c r="A1" s="110" t="s">
        <v>303</v>
      </c>
      <c r="B1" s="107"/>
      <c r="C1" s="107"/>
      <c r="D1" s="107"/>
      <c r="E1" s="107"/>
      <c r="F1" s="107"/>
      <c r="G1" s="107"/>
      <c r="H1" s="108"/>
    </row>
    <row r="2" spans="1:10" ht="14.25" customHeight="1" x14ac:dyDescent="0.35"/>
    <row r="3" spans="1:10" ht="14.25" customHeight="1" x14ac:dyDescent="0.35">
      <c r="B3" s="7" t="s">
        <v>304</v>
      </c>
      <c r="C3" s="8" t="s">
        <v>48</v>
      </c>
      <c r="D3" s="8" t="s">
        <v>69</v>
      </c>
      <c r="E3" s="8" t="s">
        <v>305</v>
      </c>
      <c r="F3" s="12" t="s">
        <v>306</v>
      </c>
    </row>
    <row r="4" spans="1:10" ht="14.25" customHeight="1" x14ac:dyDescent="0.35">
      <c r="B4" s="9" t="s">
        <v>307</v>
      </c>
      <c r="C4" s="10" t="s">
        <v>78</v>
      </c>
      <c r="D4" s="10" t="s">
        <v>80</v>
      </c>
      <c r="E4" s="10" t="s">
        <v>308</v>
      </c>
      <c r="F4" s="26" t="s">
        <v>309</v>
      </c>
    </row>
    <row r="5" spans="1:10" ht="14.25" customHeight="1" x14ac:dyDescent="0.35">
      <c r="B5" s="16" t="s">
        <v>307</v>
      </c>
      <c r="C5" s="19" t="s">
        <v>78</v>
      </c>
      <c r="D5" s="19" t="s">
        <v>87</v>
      </c>
      <c r="E5" s="19" t="s">
        <v>308</v>
      </c>
      <c r="F5" s="28" t="s">
        <v>309</v>
      </c>
    </row>
    <row r="6" spans="1:10" ht="14.25" customHeight="1" x14ac:dyDescent="0.35">
      <c r="B6" s="16" t="s">
        <v>307</v>
      </c>
      <c r="C6" s="19" t="s">
        <v>78</v>
      </c>
      <c r="D6" s="19" t="s">
        <v>90</v>
      </c>
      <c r="E6" s="19" t="s">
        <v>308</v>
      </c>
      <c r="F6" s="28" t="s">
        <v>310</v>
      </c>
    </row>
    <row r="7" spans="1:10" ht="14.25" customHeight="1" x14ac:dyDescent="0.35">
      <c r="B7" s="16" t="s">
        <v>307</v>
      </c>
      <c r="C7" s="19" t="s">
        <v>92</v>
      </c>
      <c r="D7" s="19" t="s">
        <v>93</v>
      </c>
      <c r="E7" s="19" t="s">
        <v>308</v>
      </c>
      <c r="F7" s="28" t="s">
        <v>310</v>
      </c>
    </row>
    <row r="8" spans="1:10" ht="14.25" customHeight="1" x14ac:dyDescent="0.35">
      <c r="B8" s="16" t="s">
        <v>307</v>
      </c>
      <c r="C8" s="19" t="s">
        <v>250</v>
      </c>
      <c r="D8" s="19" t="s">
        <v>96</v>
      </c>
      <c r="E8" s="19" t="s">
        <v>308</v>
      </c>
      <c r="F8" s="28" t="s">
        <v>311</v>
      </c>
    </row>
    <row r="9" spans="1:10" ht="14.25" customHeight="1" x14ac:dyDescent="0.35">
      <c r="B9" s="16" t="s">
        <v>307</v>
      </c>
      <c r="C9" s="19" t="s">
        <v>99</v>
      </c>
      <c r="D9" s="19" t="s">
        <v>100</v>
      </c>
      <c r="E9" s="19" t="s">
        <v>308</v>
      </c>
      <c r="F9" s="28" t="s">
        <v>310</v>
      </c>
    </row>
    <row r="10" spans="1:10" ht="14.25" customHeight="1" x14ac:dyDescent="0.35">
      <c r="B10" s="16" t="s">
        <v>307</v>
      </c>
      <c r="C10" s="19" t="s">
        <v>103</v>
      </c>
      <c r="D10" s="19" t="s">
        <v>105</v>
      </c>
      <c r="E10" s="19" t="s">
        <v>308</v>
      </c>
      <c r="F10" s="28" t="s">
        <v>310</v>
      </c>
      <c r="G10" s="86" t="s">
        <v>410</v>
      </c>
      <c r="H10" s="86" t="s">
        <v>411</v>
      </c>
    </row>
    <row r="11" spans="1:10" ht="14.25" customHeight="1" x14ac:dyDescent="0.35">
      <c r="B11" s="16" t="s">
        <v>307</v>
      </c>
      <c r="C11" s="19" t="s">
        <v>99</v>
      </c>
      <c r="D11" s="19" t="s">
        <v>107</v>
      </c>
      <c r="E11" s="19" t="s">
        <v>308</v>
      </c>
      <c r="F11" s="28" t="s">
        <v>309</v>
      </c>
      <c r="G11" s="86" t="s">
        <v>412</v>
      </c>
      <c r="H11" t="s">
        <v>312</v>
      </c>
      <c r="I11" t="s">
        <v>307</v>
      </c>
      <c r="J11" t="s">
        <v>409</v>
      </c>
    </row>
    <row r="12" spans="1:10" ht="14.25" customHeight="1" x14ac:dyDescent="0.35">
      <c r="B12" s="16" t="s">
        <v>307</v>
      </c>
      <c r="C12" s="19" t="s">
        <v>103</v>
      </c>
      <c r="D12" s="19" t="s">
        <v>105</v>
      </c>
      <c r="E12" s="19" t="s">
        <v>308</v>
      </c>
      <c r="F12" s="28" t="s">
        <v>310</v>
      </c>
      <c r="G12" s="87" t="s">
        <v>311</v>
      </c>
      <c r="I12">
        <v>1</v>
      </c>
      <c r="J12">
        <v>1</v>
      </c>
    </row>
    <row r="13" spans="1:10" ht="14.25" customHeight="1" x14ac:dyDescent="0.35">
      <c r="B13" s="16" t="s">
        <v>307</v>
      </c>
      <c r="C13" s="19" t="s">
        <v>103</v>
      </c>
      <c r="D13" s="19" t="s">
        <v>105</v>
      </c>
      <c r="E13" s="19" t="s">
        <v>308</v>
      </c>
      <c r="F13" s="28" t="s">
        <v>310</v>
      </c>
      <c r="G13" s="87" t="s">
        <v>310</v>
      </c>
      <c r="H13">
        <v>6</v>
      </c>
      <c r="I13">
        <v>7</v>
      </c>
      <c r="J13">
        <v>13</v>
      </c>
    </row>
    <row r="14" spans="1:10" ht="14.25" customHeight="1" x14ac:dyDescent="0.35">
      <c r="B14" s="16" t="s">
        <v>307</v>
      </c>
      <c r="C14" s="19" t="s">
        <v>103</v>
      </c>
      <c r="D14" s="19" t="s">
        <v>115</v>
      </c>
      <c r="E14" s="19" t="s">
        <v>308</v>
      </c>
      <c r="F14" s="28" t="s">
        <v>310</v>
      </c>
      <c r="G14" s="87" t="s">
        <v>309</v>
      </c>
      <c r="H14">
        <v>2</v>
      </c>
      <c r="I14">
        <v>3</v>
      </c>
      <c r="J14">
        <v>5</v>
      </c>
    </row>
    <row r="15" spans="1:10" ht="14.25" customHeight="1" x14ac:dyDescent="0.35">
      <c r="B15" s="16" t="s">
        <v>312</v>
      </c>
      <c r="C15" s="19" t="s">
        <v>99</v>
      </c>
      <c r="D15" s="19" t="s">
        <v>119</v>
      </c>
      <c r="E15" s="19" t="s">
        <v>308</v>
      </c>
      <c r="F15" s="28" t="s">
        <v>310</v>
      </c>
      <c r="G15" s="87" t="s">
        <v>409</v>
      </c>
      <c r="H15">
        <v>8</v>
      </c>
      <c r="I15">
        <v>11</v>
      </c>
      <c r="J15">
        <v>19</v>
      </c>
    </row>
    <row r="16" spans="1:10" ht="14.25" customHeight="1" x14ac:dyDescent="0.35">
      <c r="B16" s="16" t="s">
        <v>312</v>
      </c>
      <c r="C16" s="19" t="s">
        <v>103</v>
      </c>
      <c r="D16" s="19" t="s">
        <v>115</v>
      </c>
      <c r="E16" s="19" t="s">
        <v>308</v>
      </c>
      <c r="F16" s="28" t="s">
        <v>310</v>
      </c>
    </row>
    <row r="17" spans="2:6" ht="14.25" customHeight="1" x14ac:dyDescent="0.35">
      <c r="B17" s="16" t="s">
        <v>312</v>
      </c>
      <c r="C17" s="19" t="s">
        <v>103</v>
      </c>
      <c r="D17" s="19" t="s">
        <v>124</v>
      </c>
      <c r="E17" s="19" t="s">
        <v>308</v>
      </c>
      <c r="F17" s="28" t="s">
        <v>310</v>
      </c>
    </row>
    <row r="18" spans="2:6" ht="14.25" customHeight="1" x14ac:dyDescent="0.35">
      <c r="B18" s="16" t="s">
        <v>312</v>
      </c>
      <c r="C18" s="19" t="s">
        <v>122</v>
      </c>
      <c r="D18" s="19" t="s">
        <v>126</v>
      </c>
      <c r="E18" s="19" t="s">
        <v>308</v>
      </c>
      <c r="F18" s="28" t="s">
        <v>310</v>
      </c>
    </row>
    <row r="19" spans="2:6" ht="14.25" customHeight="1" x14ac:dyDescent="0.35">
      <c r="B19" s="16" t="s">
        <v>312</v>
      </c>
      <c r="C19" s="19" t="s">
        <v>122</v>
      </c>
      <c r="D19" s="19" t="s">
        <v>128</v>
      </c>
      <c r="E19" s="19" t="s">
        <v>308</v>
      </c>
      <c r="F19" s="28" t="s">
        <v>310</v>
      </c>
    </row>
    <row r="20" spans="2:6" ht="14.25" customHeight="1" x14ac:dyDescent="0.35">
      <c r="B20" s="16" t="s">
        <v>312</v>
      </c>
      <c r="C20" s="19" t="s">
        <v>99</v>
      </c>
      <c r="D20" s="19" t="s">
        <v>119</v>
      </c>
      <c r="E20" s="19" t="s">
        <v>308</v>
      </c>
      <c r="F20" s="28" t="s">
        <v>309</v>
      </c>
    </row>
    <row r="21" spans="2:6" ht="14.25" customHeight="1" x14ac:dyDescent="0.35">
      <c r="B21" s="16" t="s">
        <v>312</v>
      </c>
      <c r="C21" s="19" t="s">
        <v>116</v>
      </c>
      <c r="D21" s="19" t="s">
        <v>133</v>
      </c>
      <c r="E21" s="19" t="s">
        <v>308</v>
      </c>
      <c r="F21" s="28" t="s">
        <v>310</v>
      </c>
    </row>
    <row r="22" spans="2:6" ht="14.25" customHeight="1" x14ac:dyDescent="0.35">
      <c r="B22" s="16" t="s">
        <v>312</v>
      </c>
      <c r="C22" s="19" t="s">
        <v>99</v>
      </c>
      <c r="D22" s="19" t="s">
        <v>100</v>
      </c>
      <c r="E22" s="19" t="s">
        <v>308</v>
      </c>
      <c r="F22" s="28" t="s">
        <v>309</v>
      </c>
    </row>
    <row r="23" spans="2:6" ht="14.25" customHeight="1" x14ac:dyDescent="0.35"/>
    <row r="24" spans="2:6" ht="14.25" customHeight="1" x14ac:dyDescent="0.35"/>
    <row r="25" spans="2:6" ht="14.25" customHeight="1" x14ac:dyDescent="0.35"/>
    <row r="26" spans="2:6" ht="14.25" customHeight="1" x14ac:dyDescent="0.35"/>
    <row r="27" spans="2:6" ht="14.25" customHeight="1" x14ac:dyDescent="0.35"/>
    <row r="28" spans="2:6" ht="14.25" customHeight="1" x14ac:dyDescent="0.35"/>
    <row r="29" spans="2:6" ht="14.25" customHeight="1" x14ac:dyDescent="0.35"/>
    <row r="30" spans="2:6" ht="14.25" customHeight="1" x14ac:dyDescent="0.35"/>
    <row r="31" spans="2:6" ht="14.25" customHeight="1" x14ac:dyDescent="0.35"/>
    <row r="32" spans="2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H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B1:M1000"/>
  <sheetViews>
    <sheetView workbookViewId="0">
      <selection activeCell="H48" sqref="H48"/>
    </sheetView>
  </sheetViews>
  <sheetFormatPr defaultColWidth="14.453125" defaultRowHeight="15" customHeight="1" x14ac:dyDescent="0.35"/>
  <cols>
    <col min="1" max="1" width="4.54296875" customWidth="1"/>
    <col min="2" max="2" width="16.54296875" customWidth="1"/>
    <col min="3" max="3" width="20.453125" customWidth="1"/>
    <col min="4" max="4" width="11.54296875" bestFit="1" customWidth="1"/>
    <col min="5" max="5" width="9.81640625" customWidth="1"/>
    <col min="6" max="6" width="13.453125" customWidth="1"/>
    <col min="7" max="7" width="12.26953125" customWidth="1"/>
    <col min="8" max="8" width="18.08984375" customWidth="1"/>
    <col min="9" max="9" width="5.81640625" customWidth="1"/>
    <col min="10" max="10" width="15" customWidth="1"/>
    <col min="11" max="11" width="23.7265625" customWidth="1"/>
    <col min="12" max="12" width="10.08984375" customWidth="1"/>
    <col min="13" max="26" width="8.7265625" customWidth="1"/>
  </cols>
  <sheetData>
    <row r="1" spans="2:13" ht="14.25" customHeight="1" x14ac:dyDescent="0.35">
      <c r="B1" s="119" t="s">
        <v>313</v>
      </c>
      <c r="C1" s="108"/>
    </row>
    <row r="2" spans="2:13" ht="14.25" customHeight="1" x14ac:dyDescent="0.35">
      <c r="B2" s="2" t="s">
        <v>2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2:13" ht="14.25" hidden="1" customHeight="1" x14ac:dyDescent="0.35">
      <c r="B3" s="3">
        <v>1</v>
      </c>
      <c r="C3" s="3" t="s">
        <v>16</v>
      </c>
      <c r="D3" s="3">
        <v>112</v>
      </c>
      <c r="E3" s="3" t="s">
        <v>17</v>
      </c>
      <c r="F3" s="4">
        <v>37084</v>
      </c>
      <c r="G3" s="3" t="s">
        <v>18</v>
      </c>
      <c r="H3" s="5">
        <v>44571</v>
      </c>
      <c r="I3" s="5">
        <v>44958</v>
      </c>
      <c r="J3" s="3">
        <v>42000</v>
      </c>
      <c r="K3" s="3">
        <v>8</v>
      </c>
      <c r="L3" s="3">
        <v>9821934908</v>
      </c>
      <c r="M3" s="3" t="s">
        <v>23</v>
      </c>
    </row>
    <row r="4" spans="2:13" ht="14.25" customHeight="1" x14ac:dyDescent="0.35">
      <c r="B4" s="3">
        <v>2</v>
      </c>
      <c r="C4" s="3" t="s">
        <v>25</v>
      </c>
      <c r="D4" s="3">
        <v>113</v>
      </c>
      <c r="E4" s="3" t="s">
        <v>27</v>
      </c>
      <c r="F4" s="4">
        <v>35354</v>
      </c>
      <c r="G4" s="3" t="s">
        <v>29</v>
      </c>
      <c r="H4" s="5">
        <v>44507</v>
      </c>
      <c r="I4" s="5">
        <v>45224</v>
      </c>
      <c r="J4" s="3">
        <v>35000</v>
      </c>
      <c r="K4" s="3">
        <v>1</v>
      </c>
      <c r="L4" s="3">
        <v>9543693808</v>
      </c>
      <c r="M4" s="3" t="s">
        <v>32</v>
      </c>
    </row>
    <row r="5" spans="2:13" ht="14.5" hidden="1" x14ac:dyDescent="0.35">
      <c r="B5" s="3">
        <v>3</v>
      </c>
      <c r="C5" s="3" t="s">
        <v>35</v>
      </c>
      <c r="D5" s="3">
        <v>114</v>
      </c>
      <c r="E5" s="3" t="s">
        <v>17</v>
      </c>
      <c r="F5" s="4">
        <v>33266</v>
      </c>
      <c r="G5" s="3" t="s">
        <v>430</v>
      </c>
      <c r="H5" s="5">
        <v>44407</v>
      </c>
      <c r="I5" s="5">
        <v>44558</v>
      </c>
      <c r="J5" s="3">
        <v>35000</v>
      </c>
      <c r="K5" s="3">
        <v>3</v>
      </c>
      <c r="L5" s="3">
        <v>9493205498</v>
      </c>
      <c r="M5" s="3" t="s">
        <v>23</v>
      </c>
    </row>
    <row r="6" spans="2:13" ht="14.25" hidden="1" customHeight="1" x14ac:dyDescent="0.35">
      <c r="B6" s="3">
        <v>4</v>
      </c>
      <c r="C6" s="3" t="s">
        <v>39</v>
      </c>
      <c r="D6" s="3">
        <v>115</v>
      </c>
      <c r="E6" s="3" t="s">
        <v>27</v>
      </c>
      <c r="F6" s="4">
        <v>37111</v>
      </c>
      <c r="G6" s="3" t="s">
        <v>430</v>
      </c>
      <c r="H6" s="5">
        <v>44492</v>
      </c>
      <c r="I6" s="5">
        <v>44598</v>
      </c>
      <c r="J6" s="3">
        <v>18000</v>
      </c>
      <c r="K6" s="3">
        <v>5</v>
      </c>
      <c r="L6" s="3">
        <v>9136087980</v>
      </c>
      <c r="M6" s="3" t="s">
        <v>23</v>
      </c>
    </row>
    <row r="7" spans="2:13" ht="14.25" hidden="1" customHeight="1" x14ac:dyDescent="0.35">
      <c r="B7" s="3">
        <v>5</v>
      </c>
      <c r="C7" s="3" t="s">
        <v>44</v>
      </c>
      <c r="D7" s="3">
        <v>116</v>
      </c>
      <c r="E7" s="3" t="s">
        <v>27</v>
      </c>
      <c r="F7" s="4">
        <v>35151</v>
      </c>
      <c r="G7" s="3" t="s">
        <v>46</v>
      </c>
      <c r="H7" s="5">
        <v>44571</v>
      </c>
      <c r="I7" s="5">
        <v>45048</v>
      </c>
      <c r="J7" s="3">
        <v>35000</v>
      </c>
      <c r="K7" s="3">
        <v>9</v>
      </c>
      <c r="L7" s="3">
        <v>9726733882</v>
      </c>
      <c r="M7" s="3" t="s">
        <v>32</v>
      </c>
    </row>
    <row r="8" spans="2:13" ht="14.25" hidden="1" customHeight="1" x14ac:dyDescent="0.35">
      <c r="B8" s="3">
        <v>6</v>
      </c>
      <c r="C8" s="3" t="s">
        <v>50</v>
      </c>
      <c r="D8" s="3">
        <v>117</v>
      </c>
      <c r="E8" s="3" t="s">
        <v>17</v>
      </c>
      <c r="F8" s="4">
        <v>36885</v>
      </c>
      <c r="G8" s="3" t="s">
        <v>430</v>
      </c>
      <c r="H8" s="5">
        <v>44577</v>
      </c>
      <c r="I8" s="5">
        <v>45304</v>
      </c>
      <c r="J8" s="3">
        <v>42000</v>
      </c>
      <c r="K8" s="3">
        <v>9</v>
      </c>
      <c r="L8" s="3">
        <v>9669292876</v>
      </c>
      <c r="M8" s="3" t="s">
        <v>55</v>
      </c>
    </row>
    <row r="9" spans="2:13" ht="14.25" hidden="1" customHeight="1" x14ac:dyDescent="0.35">
      <c r="B9" s="3">
        <v>7</v>
      </c>
      <c r="C9" s="3" t="s">
        <v>59</v>
      </c>
      <c r="D9" s="3">
        <v>118</v>
      </c>
      <c r="E9" s="3" t="s">
        <v>17</v>
      </c>
      <c r="F9" s="4">
        <v>34319</v>
      </c>
      <c r="G9" s="3" t="s">
        <v>46</v>
      </c>
      <c r="H9" s="5">
        <v>44424</v>
      </c>
      <c r="I9" s="5">
        <v>45054</v>
      </c>
      <c r="J9" s="3">
        <v>10000</v>
      </c>
      <c r="K9" s="3">
        <v>9</v>
      </c>
      <c r="L9" s="3">
        <v>9315204195</v>
      </c>
      <c r="M9" s="3" t="s">
        <v>101</v>
      </c>
    </row>
    <row r="10" spans="2:13" ht="14.25" customHeight="1" x14ac:dyDescent="0.35">
      <c r="B10" s="3">
        <v>8</v>
      </c>
      <c r="C10" s="3" t="s">
        <v>104</v>
      </c>
      <c r="D10" s="3">
        <v>119</v>
      </c>
      <c r="E10" s="3" t="s">
        <v>27</v>
      </c>
      <c r="F10" s="4">
        <v>36250</v>
      </c>
      <c r="G10" s="3" t="s">
        <v>29</v>
      </c>
      <c r="H10" s="5">
        <v>44504</v>
      </c>
      <c r="I10" s="5">
        <v>44707</v>
      </c>
      <c r="J10" s="3">
        <v>18000</v>
      </c>
      <c r="K10" s="3">
        <v>3</v>
      </c>
      <c r="L10" s="3">
        <v>9285113634</v>
      </c>
      <c r="M10" s="3" t="s">
        <v>32</v>
      </c>
    </row>
    <row r="11" spans="2:13" ht="14.25" hidden="1" customHeight="1" x14ac:dyDescent="0.35">
      <c r="B11" s="3">
        <v>9</v>
      </c>
      <c r="C11" s="3" t="s">
        <v>110</v>
      </c>
      <c r="D11" s="3">
        <v>110</v>
      </c>
      <c r="E11" s="3" t="s">
        <v>17</v>
      </c>
      <c r="F11" s="4">
        <v>36109</v>
      </c>
      <c r="G11" s="3" t="s">
        <v>46</v>
      </c>
      <c r="H11" s="5">
        <v>44556</v>
      </c>
      <c r="I11" s="5">
        <v>44992</v>
      </c>
      <c r="J11" s="3">
        <v>35000</v>
      </c>
      <c r="K11" s="3">
        <v>8</v>
      </c>
      <c r="L11" s="3">
        <v>9511890959</v>
      </c>
      <c r="M11" s="3" t="s">
        <v>112</v>
      </c>
    </row>
    <row r="12" spans="2:13" ht="14.25" hidden="1" customHeight="1" x14ac:dyDescent="0.35">
      <c r="B12" s="3">
        <v>10</v>
      </c>
      <c r="C12" s="3" t="s">
        <v>114</v>
      </c>
      <c r="D12" s="3">
        <v>111</v>
      </c>
      <c r="E12" s="3" t="s">
        <v>27</v>
      </c>
      <c r="F12" s="4">
        <v>34701</v>
      </c>
      <c r="G12" s="3" t="s">
        <v>18</v>
      </c>
      <c r="H12" s="5">
        <v>44372</v>
      </c>
      <c r="I12" s="5">
        <v>44835</v>
      </c>
      <c r="J12" s="3">
        <v>18000</v>
      </c>
      <c r="K12" s="3">
        <v>2</v>
      </c>
      <c r="L12" s="3">
        <v>9178537741</v>
      </c>
      <c r="M12" s="3" t="s">
        <v>23</v>
      </c>
    </row>
    <row r="13" spans="2:13" ht="14.25" hidden="1" customHeight="1" x14ac:dyDescent="0.35">
      <c r="B13" s="3">
        <v>11</v>
      </c>
      <c r="C13" s="3" t="s">
        <v>118</v>
      </c>
      <c r="D13" s="3">
        <v>112</v>
      </c>
      <c r="E13" s="3" t="s">
        <v>17</v>
      </c>
      <c r="F13" s="4">
        <v>35642</v>
      </c>
      <c r="G13" s="3" t="s">
        <v>46</v>
      </c>
      <c r="H13" s="5">
        <v>44308</v>
      </c>
      <c r="I13" s="5">
        <v>44677</v>
      </c>
      <c r="J13" s="3">
        <v>10000</v>
      </c>
      <c r="K13" s="3">
        <v>7</v>
      </c>
      <c r="L13" s="3">
        <v>9563258827</v>
      </c>
      <c r="M13" s="3" t="s">
        <v>112</v>
      </c>
    </row>
    <row r="14" spans="2:13" ht="14.25" hidden="1" customHeight="1" x14ac:dyDescent="0.35">
      <c r="B14" s="3">
        <v>12</v>
      </c>
      <c r="C14" s="3" t="s">
        <v>123</v>
      </c>
      <c r="D14" s="3">
        <v>113</v>
      </c>
      <c r="E14" s="3" t="s">
        <v>17</v>
      </c>
      <c r="F14" s="4">
        <v>35710</v>
      </c>
      <c r="G14" s="3" t="s">
        <v>430</v>
      </c>
      <c r="H14" s="5">
        <v>44382</v>
      </c>
      <c r="I14" s="5">
        <v>44681</v>
      </c>
      <c r="J14" s="3">
        <v>20000</v>
      </c>
      <c r="K14" s="3">
        <v>1</v>
      </c>
      <c r="L14" s="3">
        <v>9903668284</v>
      </c>
      <c r="M14" s="3" t="s">
        <v>112</v>
      </c>
    </row>
    <row r="15" spans="2:13" ht="14.25" hidden="1" customHeight="1" x14ac:dyDescent="0.35">
      <c r="B15" s="3">
        <v>13</v>
      </c>
      <c r="C15" s="3" t="s">
        <v>127</v>
      </c>
      <c r="D15" s="3">
        <v>114</v>
      </c>
      <c r="E15" s="3" t="s">
        <v>27</v>
      </c>
      <c r="F15" s="4">
        <v>37121</v>
      </c>
      <c r="G15" s="3" t="s">
        <v>46</v>
      </c>
      <c r="H15" s="5">
        <v>44395</v>
      </c>
      <c r="I15" s="5">
        <v>45049</v>
      </c>
      <c r="J15" s="3">
        <v>35000</v>
      </c>
      <c r="K15" s="3">
        <v>8</v>
      </c>
      <c r="L15" s="3">
        <v>9412491495</v>
      </c>
      <c r="M15" s="3" t="s">
        <v>55</v>
      </c>
    </row>
    <row r="16" spans="2:13" ht="14.25" hidden="1" customHeight="1" x14ac:dyDescent="0.35">
      <c r="B16" s="3">
        <v>14</v>
      </c>
      <c r="C16" s="3" t="s">
        <v>130</v>
      </c>
      <c r="D16" s="3">
        <v>115</v>
      </c>
      <c r="E16" s="3" t="s">
        <v>27</v>
      </c>
      <c r="F16" s="4">
        <v>35440</v>
      </c>
      <c r="G16" s="3" t="s">
        <v>18</v>
      </c>
      <c r="H16" s="5">
        <v>44617</v>
      </c>
      <c r="I16" s="5">
        <v>45195</v>
      </c>
      <c r="J16" s="3">
        <v>42000</v>
      </c>
      <c r="K16" s="3">
        <v>10</v>
      </c>
      <c r="L16" s="3">
        <v>9580977285</v>
      </c>
      <c r="M16" s="3" t="s">
        <v>101</v>
      </c>
    </row>
    <row r="17" spans="2:13" ht="14.25" hidden="1" customHeight="1" x14ac:dyDescent="0.35">
      <c r="B17" s="3">
        <v>15</v>
      </c>
      <c r="C17" s="3" t="s">
        <v>132</v>
      </c>
      <c r="D17" s="3">
        <v>116</v>
      </c>
      <c r="E17" s="3" t="s">
        <v>17</v>
      </c>
      <c r="F17" s="4">
        <v>35105</v>
      </c>
      <c r="G17" s="3" t="s">
        <v>430</v>
      </c>
      <c r="H17" s="5">
        <v>44300</v>
      </c>
      <c r="I17" s="5">
        <v>44785</v>
      </c>
      <c r="J17" s="3">
        <v>20000</v>
      </c>
      <c r="K17" s="3">
        <v>2</v>
      </c>
      <c r="L17" s="3">
        <v>9543199239</v>
      </c>
      <c r="M17" s="3" t="s">
        <v>55</v>
      </c>
    </row>
    <row r="18" spans="2:13" ht="14.25" hidden="1" customHeight="1" x14ac:dyDescent="0.35">
      <c r="B18" s="3">
        <v>16</v>
      </c>
      <c r="C18" s="3" t="s">
        <v>134</v>
      </c>
      <c r="D18" s="3">
        <v>117</v>
      </c>
      <c r="E18" s="3" t="s">
        <v>17</v>
      </c>
      <c r="F18" s="4">
        <v>35649</v>
      </c>
      <c r="G18" s="3" t="s">
        <v>46</v>
      </c>
      <c r="H18" s="5">
        <v>44565</v>
      </c>
      <c r="I18" s="5">
        <v>44725</v>
      </c>
      <c r="J18" s="3">
        <v>10000</v>
      </c>
      <c r="K18" s="3">
        <v>7</v>
      </c>
      <c r="L18" s="3">
        <v>9712763149</v>
      </c>
      <c r="M18" s="3" t="s">
        <v>112</v>
      </c>
    </row>
    <row r="19" spans="2:13" ht="14.25" hidden="1" customHeight="1" x14ac:dyDescent="0.35">
      <c r="B19" s="3">
        <v>17</v>
      </c>
      <c r="C19" s="3" t="s">
        <v>135</v>
      </c>
      <c r="D19" s="3">
        <v>118</v>
      </c>
      <c r="E19" s="3" t="s">
        <v>17</v>
      </c>
      <c r="F19" s="4">
        <v>35946</v>
      </c>
      <c r="G19" s="3" t="s">
        <v>18</v>
      </c>
      <c r="H19" s="5">
        <v>44494</v>
      </c>
      <c r="I19" s="5">
        <v>45097</v>
      </c>
      <c r="J19" s="3">
        <v>10000</v>
      </c>
      <c r="K19" s="3">
        <v>5</v>
      </c>
      <c r="L19" s="3">
        <v>9750297284</v>
      </c>
      <c r="M19" s="3" t="s">
        <v>32</v>
      </c>
    </row>
    <row r="20" spans="2:13" ht="14.25" customHeight="1" x14ac:dyDescent="0.35">
      <c r="B20" s="3">
        <v>18</v>
      </c>
      <c r="C20" s="3" t="s">
        <v>137</v>
      </c>
      <c r="D20" s="3">
        <v>119</v>
      </c>
      <c r="E20" s="3" t="s">
        <v>27</v>
      </c>
      <c r="F20" s="4">
        <v>35239</v>
      </c>
      <c r="G20" s="3" t="s">
        <v>29</v>
      </c>
      <c r="H20" s="5">
        <v>44332</v>
      </c>
      <c r="I20" s="5">
        <v>44673</v>
      </c>
      <c r="J20" s="3">
        <v>35000</v>
      </c>
      <c r="K20" s="3">
        <v>9</v>
      </c>
      <c r="L20" s="3">
        <v>9356037554</v>
      </c>
      <c r="M20" s="3" t="s">
        <v>112</v>
      </c>
    </row>
    <row r="21" spans="2:13" ht="14.25" hidden="1" customHeight="1" x14ac:dyDescent="0.35">
      <c r="B21" s="3">
        <v>19</v>
      </c>
      <c r="C21" s="3" t="s">
        <v>139</v>
      </c>
      <c r="D21" s="3">
        <v>120</v>
      </c>
      <c r="E21" s="3" t="s">
        <v>27</v>
      </c>
      <c r="F21" s="4">
        <v>33573</v>
      </c>
      <c r="G21" s="3" t="s">
        <v>18</v>
      </c>
      <c r="H21" s="5">
        <v>44604</v>
      </c>
      <c r="I21" s="5">
        <v>45195</v>
      </c>
      <c r="J21" s="3">
        <v>20000</v>
      </c>
      <c r="K21" s="3">
        <v>3</v>
      </c>
      <c r="L21" s="3">
        <v>9816090272</v>
      </c>
      <c r="M21" s="3" t="s">
        <v>101</v>
      </c>
    </row>
    <row r="22" spans="2:13" ht="14.25" hidden="1" customHeight="1" x14ac:dyDescent="0.35">
      <c r="B22" s="3">
        <v>20</v>
      </c>
      <c r="C22" s="3" t="s">
        <v>140</v>
      </c>
      <c r="D22" s="3">
        <v>121</v>
      </c>
      <c r="E22" s="3" t="s">
        <v>27</v>
      </c>
      <c r="F22" s="4">
        <v>36573</v>
      </c>
      <c r="G22" s="3" t="s">
        <v>18</v>
      </c>
      <c r="H22" s="5">
        <v>44438</v>
      </c>
      <c r="I22" s="5">
        <v>44857</v>
      </c>
      <c r="J22" s="3">
        <v>20000</v>
      </c>
      <c r="K22" s="3">
        <v>6</v>
      </c>
      <c r="L22" s="3">
        <v>9372396296</v>
      </c>
      <c r="M22" s="3" t="s">
        <v>55</v>
      </c>
    </row>
    <row r="23" spans="2:13" ht="14.25" hidden="1" customHeight="1" x14ac:dyDescent="0.35">
      <c r="B23" s="3">
        <v>21</v>
      </c>
      <c r="C23" s="3" t="s">
        <v>143</v>
      </c>
      <c r="D23" s="3">
        <v>112</v>
      </c>
      <c r="E23" s="3" t="s">
        <v>17</v>
      </c>
      <c r="F23" s="4">
        <v>37047</v>
      </c>
      <c r="G23" s="3" t="s">
        <v>46</v>
      </c>
      <c r="H23" s="5">
        <v>44431</v>
      </c>
      <c r="I23" s="5">
        <v>45038</v>
      </c>
      <c r="J23" s="3">
        <v>18000</v>
      </c>
      <c r="K23" s="3">
        <v>1</v>
      </c>
      <c r="L23" s="3">
        <v>9756436801</v>
      </c>
      <c r="M23" s="3" t="s">
        <v>23</v>
      </c>
    </row>
    <row r="24" spans="2:13" ht="14.25" hidden="1" customHeight="1" x14ac:dyDescent="0.35">
      <c r="B24" s="3">
        <v>22</v>
      </c>
      <c r="C24" s="3" t="s">
        <v>145</v>
      </c>
      <c r="D24" s="3">
        <v>113</v>
      </c>
      <c r="E24" s="3" t="s">
        <v>17</v>
      </c>
      <c r="F24" s="4">
        <v>37089</v>
      </c>
      <c r="G24" s="3" t="s">
        <v>430</v>
      </c>
      <c r="H24" s="5">
        <v>44553</v>
      </c>
      <c r="I24" s="5">
        <v>44950</v>
      </c>
      <c r="J24" s="3">
        <v>35000</v>
      </c>
      <c r="K24" s="3">
        <v>6</v>
      </c>
      <c r="L24" s="3">
        <v>9260569132</v>
      </c>
      <c r="M24" s="3" t="s">
        <v>32</v>
      </c>
    </row>
    <row r="25" spans="2:13" ht="14.25" customHeight="1" x14ac:dyDescent="0.35">
      <c r="B25" s="3">
        <v>23</v>
      </c>
      <c r="C25" s="3" t="s">
        <v>146</v>
      </c>
      <c r="D25" s="3">
        <v>114</v>
      </c>
      <c r="E25" s="3" t="s">
        <v>27</v>
      </c>
      <c r="F25" s="4">
        <v>33699</v>
      </c>
      <c r="G25" s="3" t="s">
        <v>29</v>
      </c>
      <c r="H25" s="5">
        <v>44577</v>
      </c>
      <c r="I25" s="5">
        <v>45149</v>
      </c>
      <c r="J25" s="3">
        <v>20000</v>
      </c>
      <c r="K25" s="3">
        <v>3</v>
      </c>
      <c r="L25" s="3">
        <v>9521494464</v>
      </c>
      <c r="M25" s="3" t="s">
        <v>23</v>
      </c>
    </row>
    <row r="26" spans="2:13" ht="14.25" hidden="1" customHeight="1" x14ac:dyDescent="0.35">
      <c r="B26" s="3">
        <v>24</v>
      </c>
      <c r="C26" s="3" t="s">
        <v>148</v>
      </c>
      <c r="D26" s="3">
        <v>115</v>
      </c>
      <c r="E26" s="3" t="s">
        <v>27</v>
      </c>
      <c r="F26" s="4">
        <v>35431</v>
      </c>
      <c r="G26" s="3" t="s">
        <v>430</v>
      </c>
      <c r="H26" s="5">
        <v>44507</v>
      </c>
      <c r="I26" s="5">
        <v>44885</v>
      </c>
      <c r="J26" s="3">
        <v>18000</v>
      </c>
      <c r="K26" s="3">
        <v>7</v>
      </c>
      <c r="L26" s="3">
        <v>9592356344</v>
      </c>
      <c r="M26" s="3" t="s">
        <v>23</v>
      </c>
    </row>
    <row r="27" spans="2:13" ht="14.25" hidden="1" customHeight="1" x14ac:dyDescent="0.35">
      <c r="B27" s="3">
        <v>25</v>
      </c>
      <c r="C27" s="3" t="s">
        <v>149</v>
      </c>
      <c r="D27" s="3">
        <v>116</v>
      </c>
      <c r="E27" s="3" t="s">
        <v>27</v>
      </c>
      <c r="F27" s="4">
        <v>37062</v>
      </c>
      <c r="G27" s="3" t="s">
        <v>430</v>
      </c>
      <c r="H27" s="5">
        <v>44456</v>
      </c>
      <c r="I27" s="5">
        <v>44872</v>
      </c>
      <c r="J27" s="3">
        <v>20000</v>
      </c>
      <c r="K27" s="3">
        <v>10</v>
      </c>
      <c r="L27" s="3">
        <v>9420689442</v>
      </c>
      <c r="M27" s="3" t="s">
        <v>32</v>
      </c>
    </row>
    <row r="28" spans="2:13" ht="14.25" hidden="1" customHeight="1" x14ac:dyDescent="0.35">
      <c r="B28" s="3">
        <v>26</v>
      </c>
      <c r="C28" s="3" t="s">
        <v>150</v>
      </c>
      <c r="D28" s="3">
        <v>117</v>
      </c>
      <c r="E28" s="3" t="s">
        <v>27</v>
      </c>
      <c r="F28" s="4">
        <v>33962</v>
      </c>
      <c r="G28" s="3" t="s">
        <v>46</v>
      </c>
      <c r="H28" s="5">
        <v>44417</v>
      </c>
      <c r="I28" s="5">
        <v>44946</v>
      </c>
      <c r="J28" s="3">
        <v>20000</v>
      </c>
      <c r="K28" s="3">
        <v>10</v>
      </c>
      <c r="L28" s="3">
        <v>9323047053</v>
      </c>
      <c r="M28" s="3" t="s">
        <v>55</v>
      </c>
    </row>
    <row r="29" spans="2:13" ht="14.25" hidden="1" customHeight="1" x14ac:dyDescent="0.35">
      <c r="B29" s="3">
        <v>27</v>
      </c>
      <c r="C29" s="3" t="s">
        <v>151</v>
      </c>
      <c r="D29" s="3">
        <v>118</v>
      </c>
      <c r="E29" s="3" t="s">
        <v>17</v>
      </c>
      <c r="F29" s="4">
        <v>36619</v>
      </c>
      <c r="G29" s="3" t="s">
        <v>46</v>
      </c>
      <c r="H29" s="5">
        <v>44395</v>
      </c>
      <c r="I29" s="5">
        <v>44512</v>
      </c>
      <c r="J29" s="3">
        <v>35000</v>
      </c>
      <c r="K29" s="3">
        <v>7</v>
      </c>
      <c r="L29" s="3">
        <v>9175236256</v>
      </c>
      <c r="M29" s="3" t="s">
        <v>101</v>
      </c>
    </row>
    <row r="30" spans="2:13" ht="14.25" hidden="1" customHeight="1" x14ac:dyDescent="0.35">
      <c r="B30" s="3">
        <v>28</v>
      </c>
      <c r="C30" s="3" t="s">
        <v>153</v>
      </c>
      <c r="D30" s="3">
        <v>119</v>
      </c>
      <c r="E30" s="3" t="s">
        <v>17</v>
      </c>
      <c r="F30" s="4">
        <v>35339</v>
      </c>
      <c r="G30" s="3" t="s">
        <v>46</v>
      </c>
      <c r="H30" s="5">
        <v>44517</v>
      </c>
      <c r="I30" s="5">
        <v>44926</v>
      </c>
      <c r="J30" s="3">
        <v>35000</v>
      </c>
      <c r="K30" s="3">
        <v>6</v>
      </c>
      <c r="L30" s="3">
        <v>9650155772</v>
      </c>
      <c r="M30" s="3" t="s">
        <v>32</v>
      </c>
    </row>
    <row r="31" spans="2:13" ht="14.25" hidden="1" customHeight="1" x14ac:dyDescent="0.35">
      <c r="B31" s="3">
        <v>29</v>
      </c>
      <c r="C31" s="3" t="s">
        <v>154</v>
      </c>
      <c r="D31" s="3">
        <v>110</v>
      </c>
      <c r="E31" s="3" t="s">
        <v>17</v>
      </c>
      <c r="F31" s="4">
        <v>34578</v>
      </c>
      <c r="G31" s="3" t="s">
        <v>18</v>
      </c>
      <c r="H31" s="5">
        <v>44357</v>
      </c>
      <c r="I31" s="5">
        <v>44560</v>
      </c>
      <c r="J31" s="3">
        <v>10000</v>
      </c>
      <c r="K31" s="3">
        <v>7</v>
      </c>
      <c r="L31" s="3">
        <v>9108489803</v>
      </c>
      <c r="M31" s="3" t="s">
        <v>112</v>
      </c>
    </row>
    <row r="32" spans="2:13" ht="14.25" hidden="1" customHeight="1" x14ac:dyDescent="0.35">
      <c r="B32" s="3">
        <v>30</v>
      </c>
      <c r="C32" s="3" t="s">
        <v>156</v>
      </c>
      <c r="D32" s="3">
        <v>111</v>
      </c>
      <c r="E32" s="3" t="s">
        <v>17</v>
      </c>
      <c r="F32" s="4">
        <v>34635</v>
      </c>
      <c r="G32" s="3" t="s">
        <v>46</v>
      </c>
      <c r="H32" s="5">
        <v>44409</v>
      </c>
      <c r="I32" s="5">
        <v>45060</v>
      </c>
      <c r="J32" s="3">
        <v>18000</v>
      </c>
      <c r="K32" s="3">
        <v>5</v>
      </c>
      <c r="L32" s="3">
        <v>9175153983</v>
      </c>
      <c r="M32" s="3" t="s">
        <v>23</v>
      </c>
    </row>
    <row r="33" spans="2:13" ht="14.25" hidden="1" customHeight="1" x14ac:dyDescent="0.35">
      <c r="B33" s="3">
        <v>31</v>
      </c>
      <c r="C33" s="3" t="s">
        <v>157</v>
      </c>
      <c r="D33" s="3">
        <v>112</v>
      </c>
      <c r="E33" s="3" t="s">
        <v>27</v>
      </c>
      <c r="F33" s="4">
        <v>37176</v>
      </c>
      <c r="G33" s="3" t="s">
        <v>430</v>
      </c>
      <c r="H33" s="5">
        <v>44325</v>
      </c>
      <c r="I33" s="5">
        <v>44976</v>
      </c>
      <c r="J33" s="3">
        <v>10000</v>
      </c>
      <c r="K33" s="3">
        <v>3</v>
      </c>
      <c r="L33" s="3">
        <v>9256089954</v>
      </c>
      <c r="M33" s="3" t="s">
        <v>112</v>
      </c>
    </row>
    <row r="34" spans="2:13" ht="14.25" hidden="1" customHeight="1" x14ac:dyDescent="0.35">
      <c r="B34" s="3">
        <v>32</v>
      </c>
      <c r="C34" s="3" t="s">
        <v>158</v>
      </c>
      <c r="D34" s="3">
        <v>113</v>
      </c>
      <c r="E34" s="3" t="s">
        <v>17</v>
      </c>
      <c r="F34" s="4">
        <v>36068</v>
      </c>
      <c r="G34" s="3" t="s">
        <v>430</v>
      </c>
      <c r="H34" s="5">
        <v>44408</v>
      </c>
      <c r="I34" s="5">
        <v>44988</v>
      </c>
      <c r="J34" s="3">
        <v>35000</v>
      </c>
      <c r="K34" s="3">
        <v>4</v>
      </c>
      <c r="L34" s="3">
        <v>9471908056</v>
      </c>
      <c r="M34" s="3" t="s">
        <v>112</v>
      </c>
    </row>
    <row r="35" spans="2:13" ht="14.25" customHeight="1" x14ac:dyDescent="0.35">
      <c r="B35" s="3">
        <v>33</v>
      </c>
      <c r="C35" s="3" t="s">
        <v>159</v>
      </c>
      <c r="D35" s="3">
        <v>114</v>
      </c>
      <c r="E35" s="3" t="s">
        <v>17</v>
      </c>
      <c r="F35" s="4">
        <v>34912</v>
      </c>
      <c r="G35" s="3" t="s">
        <v>29</v>
      </c>
      <c r="H35" s="5">
        <v>44512</v>
      </c>
      <c r="I35" s="5">
        <v>44625</v>
      </c>
      <c r="J35" s="3">
        <v>35000</v>
      </c>
      <c r="K35" s="3">
        <v>7</v>
      </c>
      <c r="L35" s="3">
        <v>9361742681</v>
      </c>
      <c r="M35" s="3" t="s">
        <v>55</v>
      </c>
    </row>
    <row r="36" spans="2:13" ht="14.25" hidden="1" customHeight="1" x14ac:dyDescent="0.35">
      <c r="B36" s="3">
        <v>34</v>
      </c>
      <c r="C36" s="3" t="s">
        <v>162</v>
      </c>
      <c r="D36" s="3">
        <v>115</v>
      </c>
      <c r="E36" s="3" t="s">
        <v>17</v>
      </c>
      <c r="F36" s="4">
        <v>36437</v>
      </c>
      <c r="G36" s="3" t="s">
        <v>46</v>
      </c>
      <c r="H36" s="5">
        <v>44593</v>
      </c>
      <c r="I36" s="5">
        <v>45316</v>
      </c>
      <c r="J36" s="3">
        <v>20000</v>
      </c>
      <c r="K36" s="3">
        <v>6</v>
      </c>
      <c r="L36" s="3">
        <v>9550307866</v>
      </c>
      <c r="M36" s="3" t="s">
        <v>101</v>
      </c>
    </row>
    <row r="37" spans="2:13" ht="14.25" hidden="1" customHeight="1" x14ac:dyDescent="0.35">
      <c r="B37" s="3">
        <v>35</v>
      </c>
      <c r="C37" s="3" t="s">
        <v>164</v>
      </c>
      <c r="D37" s="3">
        <v>116</v>
      </c>
      <c r="E37" s="3" t="s">
        <v>27</v>
      </c>
      <c r="F37" s="4">
        <v>33535</v>
      </c>
      <c r="G37" s="3" t="s">
        <v>18</v>
      </c>
      <c r="H37" s="5">
        <v>44467</v>
      </c>
      <c r="I37" s="5">
        <v>44659</v>
      </c>
      <c r="J37" s="3">
        <v>10000</v>
      </c>
      <c r="K37" s="3">
        <v>7</v>
      </c>
      <c r="L37" s="3">
        <v>9456201256</v>
      </c>
      <c r="M37" s="3" t="s">
        <v>55</v>
      </c>
    </row>
    <row r="38" spans="2:13" ht="14.25" hidden="1" customHeight="1" x14ac:dyDescent="0.35">
      <c r="B38" s="3">
        <v>36</v>
      </c>
      <c r="C38" s="3" t="s">
        <v>166</v>
      </c>
      <c r="D38" s="3">
        <v>117</v>
      </c>
      <c r="E38" s="3" t="s">
        <v>27</v>
      </c>
      <c r="F38" s="4">
        <v>35077</v>
      </c>
      <c r="G38" s="3" t="s">
        <v>430</v>
      </c>
      <c r="H38" s="5">
        <v>44315</v>
      </c>
      <c r="I38" s="5">
        <v>44668</v>
      </c>
      <c r="J38" s="3">
        <v>10000</v>
      </c>
      <c r="K38" s="3">
        <v>2</v>
      </c>
      <c r="L38" s="3">
        <v>9234670550</v>
      </c>
      <c r="M38" s="3" t="s">
        <v>112</v>
      </c>
    </row>
    <row r="39" spans="2:13" ht="14.25" customHeight="1" x14ac:dyDescent="0.35">
      <c r="B39" s="3">
        <v>37</v>
      </c>
      <c r="C39" s="3" t="s">
        <v>167</v>
      </c>
      <c r="D39" s="3">
        <v>118</v>
      </c>
      <c r="E39" s="3" t="s">
        <v>17</v>
      </c>
      <c r="F39" s="4">
        <v>33690</v>
      </c>
      <c r="G39" s="3" t="s">
        <v>29</v>
      </c>
      <c r="H39" s="5">
        <v>44605</v>
      </c>
      <c r="I39" s="5">
        <v>45179</v>
      </c>
      <c r="J39" s="3">
        <v>35000</v>
      </c>
      <c r="K39" s="3">
        <v>9</v>
      </c>
      <c r="L39" s="3">
        <v>9623465455</v>
      </c>
      <c r="M39" s="3" t="s">
        <v>32</v>
      </c>
    </row>
    <row r="40" spans="2:13" ht="14.25" customHeight="1" x14ac:dyDescent="0.35">
      <c r="B40" s="3">
        <v>38</v>
      </c>
      <c r="C40" s="3" t="s">
        <v>168</v>
      </c>
      <c r="D40" s="3">
        <v>119</v>
      </c>
      <c r="E40" s="3" t="s">
        <v>17</v>
      </c>
      <c r="F40" s="4">
        <v>33880</v>
      </c>
      <c r="G40" s="3" t="s">
        <v>29</v>
      </c>
      <c r="H40" s="5">
        <v>44444</v>
      </c>
      <c r="I40" s="5">
        <v>44931</v>
      </c>
      <c r="J40" s="3">
        <v>10000</v>
      </c>
      <c r="K40" s="3">
        <v>8</v>
      </c>
      <c r="L40" s="3">
        <v>9257334815</v>
      </c>
      <c r="M40" s="3" t="s">
        <v>112</v>
      </c>
    </row>
    <row r="41" spans="2:13" ht="14.25" hidden="1" customHeight="1" x14ac:dyDescent="0.35">
      <c r="B41" s="3">
        <v>39</v>
      </c>
      <c r="C41" s="3" t="s">
        <v>170</v>
      </c>
      <c r="D41" s="3">
        <v>120</v>
      </c>
      <c r="E41" s="3" t="s">
        <v>27</v>
      </c>
      <c r="F41" s="4">
        <v>33960</v>
      </c>
      <c r="G41" s="3" t="s">
        <v>46</v>
      </c>
      <c r="H41" s="5">
        <v>44456</v>
      </c>
      <c r="I41" s="5">
        <v>44940</v>
      </c>
      <c r="J41" s="3">
        <v>35000</v>
      </c>
      <c r="K41" s="3">
        <v>10</v>
      </c>
      <c r="L41" s="3">
        <v>9463131191</v>
      </c>
      <c r="M41" s="3" t="s">
        <v>101</v>
      </c>
    </row>
    <row r="42" spans="2:13" ht="14.25" customHeight="1" x14ac:dyDescent="0.35">
      <c r="B42" s="3">
        <v>40</v>
      </c>
      <c r="C42" s="3" t="s">
        <v>171</v>
      </c>
      <c r="D42" s="3">
        <v>121</v>
      </c>
      <c r="E42" s="3" t="s">
        <v>17</v>
      </c>
      <c r="F42" s="4">
        <v>35680</v>
      </c>
      <c r="G42" s="3" t="s">
        <v>29</v>
      </c>
      <c r="H42" s="5">
        <v>44565</v>
      </c>
      <c r="I42" s="5">
        <v>45215</v>
      </c>
      <c r="J42" s="3">
        <v>18000</v>
      </c>
      <c r="K42" s="3">
        <v>3</v>
      </c>
      <c r="L42" s="3">
        <v>9659532373</v>
      </c>
      <c r="M42" s="3" t="s">
        <v>55</v>
      </c>
    </row>
    <row r="43" spans="2:13" ht="14.25" customHeight="1" x14ac:dyDescent="0.35"/>
    <row r="44" spans="2:13" ht="14.25" customHeight="1" x14ac:dyDescent="0.35"/>
    <row r="45" spans="2:13" ht="14.25" customHeight="1" x14ac:dyDescent="0.35"/>
    <row r="46" spans="2:13" ht="14.25" customHeight="1" x14ac:dyDescent="0.35"/>
    <row r="47" spans="2:13" ht="14.25" customHeight="1" x14ac:dyDescent="0.35"/>
    <row r="48" spans="2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B2:M42" xr:uid="{00000000-0001-0000-0A00-000000000000}">
    <filterColumn colId="5">
      <filters>
        <filter val="Hyd"/>
      </filters>
    </filterColumn>
  </autoFilter>
  <mergeCells count="1">
    <mergeCell ref="B1:C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>
      <selection activeCell="N8" sqref="N8"/>
    </sheetView>
  </sheetViews>
  <sheetFormatPr defaultColWidth="14.453125" defaultRowHeight="15" customHeight="1" x14ac:dyDescent="0.35"/>
  <cols>
    <col min="1" max="1" width="4.453125" customWidth="1"/>
    <col min="2" max="2" width="16.453125" customWidth="1"/>
    <col min="3" max="3" width="7.453125" customWidth="1"/>
    <col min="4" max="4" width="7" customWidth="1"/>
    <col min="5" max="5" width="9.7265625" customWidth="1"/>
    <col min="6" max="6" width="13.08984375" customWidth="1"/>
    <col min="7" max="7" width="11.81640625" customWidth="1"/>
    <col min="8" max="8" width="17.54296875" customWidth="1"/>
    <col min="9" max="9" width="5.81640625" customWidth="1"/>
    <col min="10" max="10" width="14.7265625" customWidth="1"/>
    <col min="11" max="11" width="23.453125" customWidth="1"/>
    <col min="12" max="12" width="9.7265625" customWidth="1"/>
    <col min="13" max="26" width="8.7265625" customWidth="1"/>
  </cols>
  <sheetData>
    <row r="1" spans="1:12" ht="14.25" customHeight="1" x14ac:dyDescent="0.35">
      <c r="B1" s="119" t="s">
        <v>314</v>
      </c>
      <c r="C1" s="107"/>
      <c r="D1" s="107"/>
      <c r="E1" s="107"/>
      <c r="F1" s="107"/>
      <c r="G1" s="108"/>
    </row>
    <row r="2" spans="1:12" ht="14.25" customHeight="1" x14ac:dyDescent="0.35"/>
    <row r="3" spans="1:12" ht="14.25" customHeight="1" x14ac:dyDescent="0.35">
      <c r="A3" s="2" t="s">
        <v>2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 ht="14.25" customHeight="1" x14ac:dyDescent="0.35">
      <c r="A4" s="3">
        <v>1</v>
      </c>
      <c r="B4" s="3" t="s">
        <v>16</v>
      </c>
      <c r="C4" s="3">
        <v>112</v>
      </c>
      <c r="D4" s="3" t="s">
        <v>17</v>
      </c>
      <c r="E4" s="4">
        <v>37084</v>
      </c>
      <c r="F4" s="3" t="s">
        <v>18</v>
      </c>
      <c r="G4" s="5">
        <v>44571</v>
      </c>
      <c r="H4" s="5">
        <v>44958</v>
      </c>
      <c r="I4" s="3">
        <v>42000</v>
      </c>
      <c r="J4" s="3">
        <v>8</v>
      </c>
      <c r="K4" s="3">
        <v>9821934908</v>
      </c>
      <c r="L4" s="3" t="s">
        <v>23</v>
      </c>
    </row>
    <row r="5" spans="1:12" ht="14.25" customHeight="1" x14ac:dyDescent="0.35">
      <c r="A5" s="3">
        <v>6</v>
      </c>
      <c r="B5" s="3" t="s">
        <v>50</v>
      </c>
      <c r="C5" s="3">
        <v>117</v>
      </c>
      <c r="D5" s="3" t="s">
        <v>17</v>
      </c>
      <c r="E5" s="4">
        <v>36885</v>
      </c>
      <c r="F5" s="3" t="s">
        <v>37</v>
      </c>
      <c r="G5" s="5">
        <v>44577</v>
      </c>
      <c r="H5" s="5">
        <v>45304</v>
      </c>
      <c r="I5" s="3">
        <v>42000</v>
      </c>
      <c r="J5" s="3">
        <v>9</v>
      </c>
      <c r="K5" s="3">
        <v>9669292876</v>
      </c>
      <c r="L5" s="3" t="s">
        <v>55</v>
      </c>
    </row>
    <row r="6" spans="1:12" ht="14.25" customHeight="1" x14ac:dyDescent="0.35">
      <c r="A6" s="3">
        <v>14</v>
      </c>
      <c r="B6" s="3" t="s">
        <v>130</v>
      </c>
      <c r="C6" s="3">
        <v>115</v>
      </c>
      <c r="D6" s="3" t="s">
        <v>27</v>
      </c>
      <c r="E6" s="4">
        <v>35440</v>
      </c>
      <c r="F6" s="3" t="s">
        <v>18</v>
      </c>
      <c r="G6" s="5">
        <v>44617</v>
      </c>
      <c r="H6" s="5">
        <v>45195</v>
      </c>
      <c r="I6" s="3">
        <v>42000</v>
      </c>
      <c r="J6" s="3">
        <v>10</v>
      </c>
      <c r="K6" s="3">
        <v>9580977285</v>
      </c>
      <c r="L6" s="3" t="s">
        <v>101</v>
      </c>
    </row>
    <row r="7" spans="1:12" ht="14.25" customHeight="1" x14ac:dyDescent="0.35">
      <c r="A7" s="3">
        <v>2</v>
      </c>
      <c r="B7" s="3" t="s">
        <v>25</v>
      </c>
      <c r="C7" s="3">
        <v>113</v>
      </c>
      <c r="D7" s="3" t="s">
        <v>27</v>
      </c>
      <c r="E7" s="4">
        <v>35354</v>
      </c>
      <c r="F7" s="3" t="s">
        <v>29</v>
      </c>
      <c r="G7" s="5">
        <v>44507</v>
      </c>
      <c r="H7" s="5">
        <v>45224</v>
      </c>
      <c r="I7" s="3">
        <v>35000</v>
      </c>
      <c r="J7" s="3">
        <v>1</v>
      </c>
      <c r="K7" s="3">
        <v>9543693808</v>
      </c>
      <c r="L7" s="3" t="s">
        <v>32</v>
      </c>
    </row>
    <row r="8" spans="1:12" ht="14.25" customHeight="1" x14ac:dyDescent="0.35">
      <c r="A8" s="3">
        <v>3</v>
      </c>
      <c r="B8" s="3" t="s">
        <v>35</v>
      </c>
      <c r="C8" s="3">
        <v>114</v>
      </c>
      <c r="D8" s="3" t="s">
        <v>17</v>
      </c>
      <c r="E8" s="4">
        <v>33266</v>
      </c>
      <c r="F8" s="3" t="s">
        <v>37</v>
      </c>
      <c r="G8" s="5">
        <v>44407</v>
      </c>
      <c r="H8" s="5">
        <v>44558</v>
      </c>
      <c r="I8" s="3">
        <v>35000</v>
      </c>
      <c r="J8" s="3">
        <v>3</v>
      </c>
      <c r="K8" s="3">
        <v>9493205498</v>
      </c>
      <c r="L8" s="3" t="s">
        <v>23</v>
      </c>
    </row>
    <row r="9" spans="1:12" ht="14.25" customHeight="1" x14ac:dyDescent="0.35">
      <c r="A9" s="3">
        <v>5</v>
      </c>
      <c r="B9" s="3" t="s">
        <v>44</v>
      </c>
      <c r="C9" s="3">
        <v>116</v>
      </c>
      <c r="D9" s="3" t="s">
        <v>27</v>
      </c>
      <c r="E9" s="4">
        <v>35151</v>
      </c>
      <c r="F9" s="3" t="s">
        <v>46</v>
      </c>
      <c r="G9" s="5">
        <v>44571</v>
      </c>
      <c r="H9" s="5">
        <v>45048</v>
      </c>
      <c r="I9" s="3">
        <v>35000</v>
      </c>
      <c r="J9" s="3">
        <v>9</v>
      </c>
      <c r="K9" s="3">
        <v>9726733882</v>
      </c>
      <c r="L9" s="3" t="s">
        <v>32</v>
      </c>
    </row>
    <row r="10" spans="1:12" ht="14.25" customHeight="1" x14ac:dyDescent="0.35">
      <c r="A10" s="3">
        <v>9</v>
      </c>
      <c r="B10" s="3" t="s">
        <v>110</v>
      </c>
      <c r="C10" s="3">
        <v>110</v>
      </c>
      <c r="D10" s="3" t="s">
        <v>17</v>
      </c>
      <c r="E10" s="4">
        <v>36109</v>
      </c>
      <c r="F10" s="3" t="s">
        <v>46</v>
      </c>
      <c r="G10" s="5">
        <v>44556</v>
      </c>
      <c r="H10" s="5">
        <v>44992</v>
      </c>
      <c r="I10" s="3">
        <v>35000</v>
      </c>
      <c r="J10" s="3">
        <v>8</v>
      </c>
      <c r="K10" s="3">
        <v>9511890959</v>
      </c>
      <c r="L10" s="3" t="s">
        <v>112</v>
      </c>
    </row>
    <row r="11" spans="1:12" ht="14.25" customHeight="1" x14ac:dyDescent="0.35">
      <c r="A11" s="3">
        <v>13</v>
      </c>
      <c r="B11" s="3" t="s">
        <v>127</v>
      </c>
      <c r="C11" s="3">
        <v>114</v>
      </c>
      <c r="D11" s="3" t="s">
        <v>27</v>
      </c>
      <c r="E11" s="4">
        <v>37121</v>
      </c>
      <c r="F11" s="3" t="s">
        <v>46</v>
      </c>
      <c r="G11" s="5">
        <v>44395</v>
      </c>
      <c r="H11" s="5">
        <v>45049</v>
      </c>
      <c r="I11" s="3">
        <v>35000</v>
      </c>
      <c r="J11" s="3">
        <v>8</v>
      </c>
      <c r="K11" s="3">
        <v>9412491495</v>
      </c>
      <c r="L11" s="3" t="s">
        <v>55</v>
      </c>
    </row>
    <row r="12" spans="1:12" ht="14.25" customHeight="1" x14ac:dyDescent="0.35">
      <c r="A12" s="3">
        <v>18</v>
      </c>
      <c r="B12" s="3" t="s">
        <v>137</v>
      </c>
      <c r="C12" s="3">
        <v>119</v>
      </c>
      <c r="D12" s="3" t="s">
        <v>27</v>
      </c>
      <c r="E12" s="4">
        <v>35239</v>
      </c>
      <c r="F12" s="3" t="s">
        <v>29</v>
      </c>
      <c r="G12" s="5">
        <v>44332</v>
      </c>
      <c r="H12" s="5">
        <v>44673</v>
      </c>
      <c r="I12" s="3">
        <v>35000</v>
      </c>
      <c r="J12" s="3">
        <v>9</v>
      </c>
      <c r="K12" s="3">
        <v>9356037554</v>
      </c>
      <c r="L12" s="3" t="s">
        <v>112</v>
      </c>
    </row>
    <row r="13" spans="1:12" ht="14.25" customHeight="1" x14ac:dyDescent="0.35">
      <c r="A13" s="3">
        <v>22</v>
      </c>
      <c r="B13" s="3" t="s">
        <v>145</v>
      </c>
      <c r="C13" s="3">
        <v>113</v>
      </c>
      <c r="D13" s="3" t="s">
        <v>17</v>
      </c>
      <c r="E13" s="4">
        <v>37089</v>
      </c>
      <c r="F13" s="3" t="s">
        <v>37</v>
      </c>
      <c r="G13" s="5">
        <v>44553</v>
      </c>
      <c r="H13" s="5">
        <v>44950</v>
      </c>
      <c r="I13" s="3">
        <v>35000</v>
      </c>
      <c r="J13" s="3">
        <v>6</v>
      </c>
      <c r="K13" s="3">
        <v>9260569132</v>
      </c>
      <c r="L13" s="3" t="s">
        <v>32</v>
      </c>
    </row>
    <row r="14" spans="1:12" ht="14.25" customHeight="1" x14ac:dyDescent="0.35">
      <c r="A14" s="3">
        <v>27</v>
      </c>
      <c r="B14" s="3" t="s">
        <v>151</v>
      </c>
      <c r="C14" s="3">
        <v>118</v>
      </c>
      <c r="D14" s="3" t="s">
        <v>17</v>
      </c>
      <c r="E14" s="4">
        <v>36619</v>
      </c>
      <c r="F14" s="3" t="s">
        <v>46</v>
      </c>
      <c r="G14" s="5">
        <v>44395</v>
      </c>
      <c r="H14" s="5">
        <v>44512</v>
      </c>
      <c r="I14" s="3">
        <v>35000</v>
      </c>
      <c r="J14" s="3">
        <v>7</v>
      </c>
      <c r="K14" s="3">
        <v>9175236256</v>
      </c>
      <c r="L14" s="3" t="s">
        <v>101</v>
      </c>
    </row>
    <row r="15" spans="1:12" ht="14.25" customHeight="1" x14ac:dyDescent="0.35">
      <c r="A15" s="3">
        <v>28</v>
      </c>
      <c r="B15" s="3" t="s">
        <v>153</v>
      </c>
      <c r="C15" s="3">
        <v>119</v>
      </c>
      <c r="D15" s="3" t="s">
        <v>17</v>
      </c>
      <c r="E15" s="4">
        <v>35339</v>
      </c>
      <c r="F15" s="3" t="s">
        <v>46</v>
      </c>
      <c r="G15" s="5">
        <v>44517</v>
      </c>
      <c r="H15" s="5">
        <v>44926</v>
      </c>
      <c r="I15" s="3">
        <v>35000</v>
      </c>
      <c r="J15" s="3">
        <v>6</v>
      </c>
      <c r="K15" s="3">
        <v>9650155772</v>
      </c>
      <c r="L15" s="3" t="s">
        <v>32</v>
      </c>
    </row>
    <row r="16" spans="1:12" ht="14.25" customHeight="1" x14ac:dyDescent="0.35">
      <c r="A16" s="3">
        <v>32</v>
      </c>
      <c r="B16" s="3" t="s">
        <v>158</v>
      </c>
      <c r="C16" s="3">
        <v>113</v>
      </c>
      <c r="D16" s="3" t="s">
        <v>17</v>
      </c>
      <c r="E16" s="4">
        <v>36068</v>
      </c>
      <c r="F16" s="3" t="s">
        <v>37</v>
      </c>
      <c r="G16" s="5">
        <v>44408</v>
      </c>
      <c r="H16" s="5">
        <v>44988</v>
      </c>
      <c r="I16" s="3">
        <v>35000</v>
      </c>
      <c r="J16" s="3">
        <v>4</v>
      </c>
      <c r="K16" s="3">
        <v>9471908056</v>
      </c>
      <c r="L16" s="3" t="s">
        <v>112</v>
      </c>
    </row>
    <row r="17" spans="1:12" ht="14.25" customHeight="1" x14ac:dyDescent="0.35">
      <c r="A17" s="3">
        <v>33</v>
      </c>
      <c r="B17" s="3" t="s">
        <v>159</v>
      </c>
      <c r="C17" s="3">
        <v>114</v>
      </c>
      <c r="D17" s="3" t="s">
        <v>17</v>
      </c>
      <c r="E17" s="4">
        <v>34912</v>
      </c>
      <c r="F17" s="3" t="s">
        <v>29</v>
      </c>
      <c r="G17" s="5">
        <v>44512</v>
      </c>
      <c r="H17" s="5">
        <v>44625</v>
      </c>
      <c r="I17" s="3">
        <v>35000</v>
      </c>
      <c r="J17" s="3">
        <v>7</v>
      </c>
      <c r="K17" s="3">
        <v>9361742681</v>
      </c>
      <c r="L17" s="3" t="s">
        <v>55</v>
      </c>
    </row>
    <row r="18" spans="1:12" ht="14.25" customHeight="1" x14ac:dyDescent="0.35">
      <c r="A18" s="3">
        <v>37</v>
      </c>
      <c r="B18" s="3" t="s">
        <v>167</v>
      </c>
      <c r="C18" s="3">
        <v>118</v>
      </c>
      <c r="D18" s="3" t="s">
        <v>17</v>
      </c>
      <c r="E18" s="4">
        <v>33690</v>
      </c>
      <c r="F18" s="3" t="s">
        <v>29</v>
      </c>
      <c r="G18" s="5">
        <v>44605</v>
      </c>
      <c r="H18" s="5">
        <v>45179</v>
      </c>
      <c r="I18" s="3">
        <v>35000</v>
      </c>
      <c r="J18" s="3">
        <v>9</v>
      </c>
      <c r="K18" s="3">
        <v>9623465455</v>
      </c>
      <c r="L18" s="3" t="s">
        <v>32</v>
      </c>
    </row>
    <row r="19" spans="1:12" ht="14.25" customHeight="1" x14ac:dyDescent="0.35">
      <c r="A19" s="3">
        <v>39</v>
      </c>
      <c r="B19" s="3" t="s">
        <v>170</v>
      </c>
      <c r="C19" s="3">
        <v>120</v>
      </c>
      <c r="D19" s="3" t="s">
        <v>27</v>
      </c>
      <c r="E19" s="4">
        <v>33960</v>
      </c>
      <c r="F19" s="3" t="s">
        <v>46</v>
      </c>
      <c r="G19" s="5">
        <v>44456</v>
      </c>
      <c r="H19" s="5">
        <v>44940</v>
      </c>
      <c r="I19" s="3">
        <v>35000</v>
      </c>
      <c r="J19" s="3">
        <v>10</v>
      </c>
      <c r="K19" s="3">
        <v>9463131191</v>
      </c>
      <c r="L19" s="3" t="s">
        <v>101</v>
      </c>
    </row>
    <row r="20" spans="1:12" ht="14.25" customHeight="1" x14ac:dyDescent="0.35">
      <c r="A20" s="3">
        <v>12</v>
      </c>
      <c r="B20" s="3" t="s">
        <v>123</v>
      </c>
      <c r="C20" s="3">
        <v>113</v>
      </c>
      <c r="D20" s="3" t="s">
        <v>17</v>
      </c>
      <c r="E20" s="4">
        <v>35710</v>
      </c>
      <c r="F20" s="3" t="s">
        <v>37</v>
      </c>
      <c r="G20" s="5">
        <v>44382</v>
      </c>
      <c r="H20" s="5">
        <v>44681</v>
      </c>
      <c r="I20" s="3">
        <v>20000</v>
      </c>
      <c r="J20" s="3">
        <v>1</v>
      </c>
      <c r="K20" s="3">
        <v>9903668284</v>
      </c>
      <c r="L20" s="3" t="s">
        <v>112</v>
      </c>
    </row>
    <row r="21" spans="1:12" ht="14.25" customHeight="1" x14ac:dyDescent="0.35">
      <c r="A21" s="3">
        <v>15</v>
      </c>
      <c r="B21" s="3" t="s">
        <v>132</v>
      </c>
      <c r="C21" s="3">
        <v>116</v>
      </c>
      <c r="D21" s="3" t="s">
        <v>17</v>
      </c>
      <c r="E21" s="4">
        <v>35105</v>
      </c>
      <c r="F21" s="3" t="s">
        <v>37</v>
      </c>
      <c r="G21" s="5">
        <v>44300</v>
      </c>
      <c r="H21" s="5">
        <v>44785</v>
      </c>
      <c r="I21" s="3">
        <v>20000</v>
      </c>
      <c r="J21" s="3">
        <v>2</v>
      </c>
      <c r="K21" s="3">
        <v>9543199239</v>
      </c>
      <c r="L21" s="3" t="s">
        <v>55</v>
      </c>
    </row>
    <row r="22" spans="1:12" ht="14.25" customHeight="1" x14ac:dyDescent="0.35">
      <c r="A22" s="3">
        <v>19</v>
      </c>
      <c r="B22" s="3" t="s">
        <v>139</v>
      </c>
      <c r="C22" s="3">
        <v>120</v>
      </c>
      <c r="D22" s="3" t="s">
        <v>27</v>
      </c>
      <c r="E22" s="4">
        <v>33573</v>
      </c>
      <c r="F22" s="3" t="s">
        <v>18</v>
      </c>
      <c r="G22" s="5">
        <v>44604</v>
      </c>
      <c r="H22" s="5">
        <v>45195</v>
      </c>
      <c r="I22" s="3">
        <v>20000</v>
      </c>
      <c r="J22" s="3">
        <v>3</v>
      </c>
      <c r="K22" s="3">
        <v>9816090272</v>
      </c>
      <c r="L22" s="3" t="s">
        <v>101</v>
      </c>
    </row>
    <row r="23" spans="1:12" ht="14.25" customHeight="1" x14ac:dyDescent="0.35">
      <c r="A23" s="3">
        <v>20</v>
      </c>
      <c r="B23" s="3" t="s">
        <v>140</v>
      </c>
      <c r="C23" s="3">
        <v>121</v>
      </c>
      <c r="D23" s="3" t="s">
        <v>27</v>
      </c>
      <c r="E23" s="4">
        <v>36573</v>
      </c>
      <c r="F23" s="3" t="s">
        <v>18</v>
      </c>
      <c r="G23" s="5">
        <v>44438</v>
      </c>
      <c r="H23" s="5">
        <v>44857</v>
      </c>
      <c r="I23" s="3">
        <v>20000</v>
      </c>
      <c r="J23" s="3">
        <v>6</v>
      </c>
      <c r="K23" s="3">
        <v>9372396296</v>
      </c>
      <c r="L23" s="3" t="s">
        <v>55</v>
      </c>
    </row>
    <row r="24" spans="1:12" ht="14.25" customHeight="1" x14ac:dyDescent="0.35">
      <c r="A24" s="3">
        <v>23</v>
      </c>
      <c r="B24" s="3" t="s">
        <v>146</v>
      </c>
      <c r="C24" s="3">
        <v>114</v>
      </c>
      <c r="D24" s="3" t="s">
        <v>27</v>
      </c>
      <c r="E24" s="4">
        <v>33699</v>
      </c>
      <c r="F24" s="3" t="s">
        <v>29</v>
      </c>
      <c r="G24" s="5">
        <v>44577</v>
      </c>
      <c r="H24" s="5">
        <v>45149</v>
      </c>
      <c r="I24" s="3">
        <v>20000</v>
      </c>
      <c r="J24" s="3">
        <v>3</v>
      </c>
      <c r="K24" s="3">
        <v>9521494464</v>
      </c>
      <c r="L24" s="3" t="s">
        <v>23</v>
      </c>
    </row>
    <row r="25" spans="1:12" ht="14.25" customHeight="1" x14ac:dyDescent="0.35">
      <c r="A25" s="3">
        <v>25</v>
      </c>
      <c r="B25" s="3" t="s">
        <v>149</v>
      </c>
      <c r="C25" s="3">
        <v>116</v>
      </c>
      <c r="D25" s="3" t="s">
        <v>27</v>
      </c>
      <c r="E25" s="4">
        <v>37062</v>
      </c>
      <c r="F25" s="3" t="s">
        <v>37</v>
      </c>
      <c r="G25" s="5">
        <v>44456</v>
      </c>
      <c r="H25" s="5">
        <v>44872</v>
      </c>
      <c r="I25" s="3">
        <v>20000</v>
      </c>
      <c r="J25" s="3">
        <v>10</v>
      </c>
      <c r="K25" s="3">
        <v>9420689442</v>
      </c>
      <c r="L25" s="3" t="s">
        <v>32</v>
      </c>
    </row>
    <row r="26" spans="1:12" ht="14.25" customHeight="1" x14ac:dyDescent="0.35">
      <c r="A26" s="3">
        <v>26</v>
      </c>
      <c r="B26" s="3" t="s">
        <v>150</v>
      </c>
      <c r="C26" s="3">
        <v>117</v>
      </c>
      <c r="D26" s="3" t="s">
        <v>27</v>
      </c>
      <c r="E26" s="4">
        <v>33962</v>
      </c>
      <c r="F26" s="3" t="s">
        <v>46</v>
      </c>
      <c r="G26" s="5">
        <v>44417</v>
      </c>
      <c r="H26" s="5">
        <v>44946</v>
      </c>
      <c r="I26" s="3">
        <v>20000</v>
      </c>
      <c r="J26" s="3">
        <v>10</v>
      </c>
      <c r="K26" s="3">
        <v>9323047053</v>
      </c>
      <c r="L26" s="3" t="s">
        <v>55</v>
      </c>
    </row>
    <row r="27" spans="1:12" ht="14.25" customHeight="1" x14ac:dyDescent="0.35">
      <c r="A27" s="3">
        <v>34</v>
      </c>
      <c r="B27" s="3" t="s">
        <v>162</v>
      </c>
      <c r="C27" s="3">
        <v>115</v>
      </c>
      <c r="D27" s="3" t="s">
        <v>17</v>
      </c>
      <c r="E27" s="4">
        <v>36437</v>
      </c>
      <c r="F27" s="3" t="s">
        <v>46</v>
      </c>
      <c r="G27" s="5">
        <v>44593</v>
      </c>
      <c r="H27" s="5">
        <v>45316</v>
      </c>
      <c r="I27" s="3">
        <v>20000</v>
      </c>
      <c r="J27" s="3">
        <v>6</v>
      </c>
      <c r="K27" s="3">
        <v>9550307866</v>
      </c>
      <c r="L27" s="3" t="s">
        <v>101</v>
      </c>
    </row>
    <row r="28" spans="1:12" ht="14.25" customHeight="1" x14ac:dyDescent="0.35">
      <c r="A28" s="3">
        <v>4</v>
      </c>
      <c r="B28" s="3" t="s">
        <v>39</v>
      </c>
      <c r="C28" s="3">
        <v>115</v>
      </c>
      <c r="D28" s="3" t="s">
        <v>27</v>
      </c>
      <c r="E28" s="4">
        <v>37111</v>
      </c>
      <c r="F28" s="3" t="s">
        <v>37</v>
      </c>
      <c r="G28" s="5">
        <v>44492</v>
      </c>
      <c r="H28" s="5">
        <v>44598</v>
      </c>
      <c r="I28" s="3">
        <v>18000</v>
      </c>
      <c r="J28" s="3">
        <v>5</v>
      </c>
      <c r="K28" s="3">
        <v>9136087980</v>
      </c>
      <c r="L28" s="3" t="s">
        <v>23</v>
      </c>
    </row>
    <row r="29" spans="1:12" ht="14.25" customHeight="1" x14ac:dyDescent="0.35">
      <c r="A29" s="3">
        <v>8</v>
      </c>
      <c r="B29" s="3" t="s">
        <v>104</v>
      </c>
      <c r="C29" s="3">
        <v>119</v>
      </c>
      <c r="D29" s="3" t="s">
        <v>27</v>
      </c>
      <c r="E29" s="4">
        <v>36250</v>
      </c>
      <c r="F29" s="3" t="s">
        <v>29</v>
      </c>
      <c r="G29" s="5">
        <v>44504</v>
      </c>
      <c r="H29" s="5">
        <v>44707</v>
      </c>
      <c r="I29" s="3">
        <v>18000</v>
      </c>
      <c r="J29" s="3">
        <v>3</v>
      </c>
      <c r="K29" s="3">
        <v>9285113634</v>
      </c>
      <c r="L29" s="3" t="s">
        <v>32</v>
      </c>
    </row>
    <row r="30" spans="1:12" ht="14.25" customHeight="1" x14ac:dyDescent="0.35">
      <c r="A30" s="3">
        <v>10</v>
      </c>
      <c r="B30" s="3" t="s">
        <v>114</v>
      </c>
      <c r="C30" s="3">
        <v>111</v>
      </c>
      <c r="D30" s="3" t="s">
        <v>27</v>
      </c>
      <c r="E30" s="4">
        <v>34701</v>
      </c>
      <c r="F30" s="3" t="s">
        <v>18</v>
      </c>
      <c r="G30" s="5">
        <v>44372</v>
      </c>
      <c r="H30" s="5">
        <v>44835</v>
      </c>
      <c r="I30" s="3">
        <v>18000</v>
      </c>
      <c r="J30" s="3">
        <v>2</v>
      </c>
      <c r="K30" s="3">
        <v>9178537741</v>
      </c>
      <c r="L30" s="3" t="s">
        <v>23</v>
      </c>
    </row>
    <row r="31" spans="1:12" ht="14.25" customHeight="1" x14ac:dyDescent="0.35">
      <c r="A31" s="3">
        <v>21</v>
      </c>
      <c r="B31" s="3" t="s">
        <v>143</v>
      </c>
      <c r="C31" s="3">
        <v>112</v>
      </c>
      <c r="D31" s="3" t="s">
        <v>17</v>
      </c>
      <c r="E31" s="4">
        <v>37047</v>
      </c>
      <c r="F31" s="3" t="s">
        <v>46</v>
      </c>
      <c r="G31" s="5">
        <v>44431</v>
      </c>
      <c r="H31" s="5">
        <v>45038</v>
      </c>
      <c r="I31" s="3">
        <v>18000</v>
      </c>
      <c r="J31" s="3">
        <v>1</v>
      </c>
      <c r="K31" s="3">
        <v>9756436801</v>
      </c>
      <c r="L31" s="3" t="s">
        <v>23</v>
      </c>
    </row>
    <row r="32" spans="1:12" ht="14.25" customHeight="1" x14ac:dyDescent="0.35">
      <c r="A32" s="3">
        <v>24</v>
      </c>
      <c r="B32" s="3" t="s">
        <v>148</v>
      </c>
      <c r="C32" s="3">
        <v>115</v>
      </c>
      <c r="D32" s="3" t="s">
        <v>27</v>
      </c>
      <c r="E32" s="4">
        <v>35431</v>
      </c>
      <c r="F32" s="3" t="s">
        <v>37</v>
      </c>
      <c r="G32" s="5">
        <v>44507</v>
      </c>
      <c r="H32" s="5">
        <v>44885</v>
      </c>
      <c r="I32" s="3">
        <v>18000</v>
      </c>
      <c r="J32" s="3">
        <v>7</v>
      </c>
      <c r="K32" s="3">
        <v>9592356344</v>
      </c>
      <c r="L32" s="3" t="s">
        <v>23</v>
      </c>
    </row>
    <row r="33" spans="1:12" ht="14.25" customHeight="1" x14ac:dyDescent="0.35">
      <c r="A33" s="3">
        <v>30</v>
      </c>
      <c r="B33" s="3" t="s">
        <v>156</v>
      </c>
      <c r="C33" s="3">
        <v>111</v>
      </c>
      <c r="D33" s="3" t="s">
        <v>17</v>
      </c>
      <c r="E33" s="4">
        <v>34635</v>
      </c>
      <c r="F33" s="3" t="s">
        <v>46</v>
      </c>
      <c r="G33" s="5">
        <v>44409</v>
      </c>
      <c r="H33" s="5">
        <v>45060</v>
      </c>
      <c r="I33" s="3">
        <v>18000</v>
      </c>
      <c r="J33" s="3">
        <v>5</v>
      </c>
      <c r="K33" s="3">
        <v>9175153983</v>
      </c>
      <c r="L33" s="3" t="s">
        <v>23</v>
      </c>
    </row>
    <row r="34" spans="1:12" ht="14.25" customHeight="1" x14ac:dyDescent="0.35">
      <c r="A34" s="3">
        <v>40</v>
      </c>
      <c r="B34" s="3" t="s">
        <v>171</v>
      </c>
      <c r="C34" s="3">
        <v>121</v>
      </c>
      <c r="D34" s="3" t="s">
        <v>17</v>
      </c>
      <c r="E34" s="4">
        <v>35680</v>
      </c>
      <c r="F34" s="3" t="s">
        <v>29</v>
      </c>
      <c r="G34" s="5">
        <v>44565</v>
      </c>
      <c r="H34" s="5">
        <v>45215</v>
      </c>
      <c r="I34" s="3">
        <v>18000</v>
      </c>
      <c r="J34" s="3">
        <v>3</v>
      </c>
      <c r="K34" s="3">
        <v>9659532373</v>
      </c>
      <c r="L34" s="3" t="s">
        <v>55</v>
      </c>
    </row>
    <row r="35" spans="1:12" ht="14.25" customHeight="1" x14ac:dyDescent="0.35">
      <c r="A35" s="3">
        <v>7</v>
      </c>
      <c r="B35" s="3" t="s">
        <v>59</v>
      </c>
      <c r="C35" s="3">
        <v>118</v>
      </c>
      <c r="D35" s="3" t="s">
        <v>17</v>
      </c>
      <c r="E35" s="4">
        <v>34319</v>
      </c>
      <c r="F35" s="3" t="s">
        <v>46</v>
      </c>
      <c r="G35" s="5">
        <v>44424</v>
      </c>
      <c r="H35" s="5">
        <v>45054</v>
      </c>
      <c r="I35" s="3">
        <v>10000</v>
      </c>
      <c r="J35" s="3">
        <v>9</v>
      </c>
      <c r="K35" s="3">
        <v>9315204195</v>
      </c>
      <c r="L35" s="3" t="s">
        <v>101</v>
      </c>
    </row>
    <row r="36" spans="1:12" ht="14.25" customHeight="1" x14ac:dyDescent="0.35">
      <c r="A36" s="3">
        <v>11</v>
      </c>
      <c r="B36" s="3" t="s">
        <v>118</v>
      </c>
      <c r="C36" s="3">
        <v>112</v>
      </c>
      <c r="D36" s="3" t="s">
        <v>17</v>
      </c>
      <c r="E36" s="4">
        <v>35642</v>
      </c>
      <c r="F36" s="3" t="s">
        <v>46</v>
      </c>
      <c r="G36" s="5">
        <v>44308</v>
      </c>
      <c r="H36" s="5">
        <v>44677</v>
      </c>
      <c r="I36" s="3">
        <v>10000</v>
      </c>
      <c r="J36" s="3">
        <v>7</v>
      </c>
      <c r="K36" s="3">
        <v>9563258827</v>
      </c>
      <c r="L36" s="3" t="s">
        <v>112</v>
      </c>
    </row>
    <row r="37" spans="1:12" ht="14.25" customHeight="1" x14ac:dyDescent="0.35">
      <c r="A37" s="3">
        <v>16</v>
      </c>
      <c r="B37" s="3" t="s">
        <v>134</v>
      </c>
      <c r="C37" s="3">
        <v>117</v>
      </c>
      <c r="D37" s="3" t="s">
        <v>17</v>
      </c>
      <c r="E37" s="4">
        <v>35649</v>
      </c>
      <c r="F37" s="3" t="s">
        <v>46</v>
      </c>
      <c r="G37" s="5">
        <v>44565</v>
      </c>
      <c r="H37" s="5">
        <v>44725</v>
      </c>
      <c r="I37" s="3">
        <v>10000</v>
      </c>
      <c r="J37" s="3">
        <v>7</v>
      </c>
      <c r="K37" s="3">
        <v>9712763149</v>
      </c>
      <c r="L37" s="3" t="s">
        <v>112</v>
      </c>
    </row>
    <row r="38" spans="1:12" ht="14.25" customHeight="1" x14ac:dyDescent="0.35">
      <c r="A38" s="3">
        <v>17</v>
      </c>
      <c r="B38" s="3" t="s">
        <v>135</v>
      </c>
      <c r="C38" s="3">
        <v>118</v>
      </c>
      <c r="D38" s="3" t="s">
        <v>17</v>
      </c>
      <c r="E38" s="4">
        <v>35946</v>
      </c>
      <c r="F38" s="3" t="s">
        <v>18</v>
      </c>
      <c r="G38" s="5">
        <v>44494</v>
      </c>
      <c r="H38" s="5">
        <v>45097</v>
      </c>
      <c r="I38" s="3">
        <v>10000</v>
      </c>
      <c r="J38" s="3">
        <v>5</v>
      </c>
      <c r="K38" s="3">
        <v>9750297284</v>
      </c>
      <c r="L38" s="3" t="s">
        <v>32</v>
      </c>
    </row>
    <row r="39" spans="1:12" ht="14.25" customHeight="1" x14ac:dyDescent="0.35">
      <c r="A39" s="3">
        <v>29</v>
      </c>
      <c r="B39" s="3" t="s">
        <v>154</v>
      </c>
      <c r="C39" s="3">
        <v>110</v>
      </c>
      <c r="D39" s="3" t="s">
        <v>17</v>
      </c>
      <c r="E39" s="4">
        <v>34578</v>
      </c>
      <c r="F39" s="3" t="s">
        <v>18</v>
      </c>
      <c r="G39" s="5">
        <v>44357</v>
      </c>
      <c r="H39" s="5">
        <v>44560</v>
      </c>
      <c r="I39" s="3">
        <v>10000</v>
      </c>
      <c r="J39" s="3">
        <v>7</v>
      </c>
      <c r="K39" s="3">
        <v>9108489803</v>
      </c>
      <c r="L39" s="3" t="s">
        <v>112</v>
      </c>
    </row>
    <row r="40" spans="1:12" ht="14.25" customHeight="1" x14ac:dyDescent="0.35">
      <c r="A40" s="3">
        <v>31</v>
      </c>
      <c r="B40" s="3" t="s">
        <v>157</v>
      </c>
      <c r="C40" s="3">
        <v>112</v>
      </c>
      <c r="D40" s="3" t="s">
        <v>27</v>
      </c>
      <c r="E40" s="4">
        <v>37176</v>
      </c>
      <c r="F40" s="3" t="s">
        <v>37</v>
      </c>
      <c r="G40" s="5">
        <v>44325</v>
      </c>
      <c r="H40" s="5">
        <v>44976</v>
      </c>
      <c r="I40" s="3">
        <v>10000</v>
      </c>
      <c r="J40" s="3">
        <v>3</v>
      </c>
      <c r="K40" s="3">
        <v>9256089954</v>
      </c>
      <c r="L40" s="3" t="s">
        <v>112</v>
      </c>
    </row>
    <row r="41" spans="1:12" ht="14.25" customHeight="1" x14ac:dyDescent="0.35">
      <c r="A41" s="3">
        <v>35</v>
      </c>
      <c r="B41" s="3" t="s">
        <v>164</v>
      </c>
      <c r="C41" s="3">
        <v>116</v>
      </c>
      <c r="D41" s="3" t="s">
        <v>27</v>
      </c>
      <c r="E41" s="4">
        <v>33535</v>
      </c>
      <c r="F41" s="3" t="s">
        <v>18</v>
      </c>
      <c r="G41" s="5">
        <v>44467</v>
      </c>
      <c r="H41" s="5">
        <v>44659</v>
      </c>
      <c r="I41" s="3">
        <v>10000</v>
      </c>
      <c r="J41" s="3">
        <v>7</v>
      </c>
      <c r="K41" s="3">
        <v>9456201256</v>
      </c>
      <c r="L41" s="3" t="s">
        <v>55</v>
      </c>
    </row>
    <row r="42" spans="1:12" ht="14.25" customHeight="1" x14ac:dyDescent="0.35">
      <c r="A42" s="3">
        <v>36</v>
      </c>
      <c r="B42" s="3" t="s">
        <v>166</v>
      </c>
      <c r="C42" s="3">
        <v>117</v>
      </c>
      <c r="D42" s="3" t="s">
        <v>27</v>
      </c>
      <c r="E42" s="4">
        <v>35077</v>
      </c>
      <c r="F42" s="3" t="s">
        <v>37</v>
      </c>
      <c r="G42" s="5">
        <v>44315</v>
      </c>
      <c r="H42" s="5">
        <v>44668</v>
      </c>
      <c r="I42" s="3">
        <v>10000</v>
      </c>
      <c r="J42" s="3">
        <v>2</v>
      </c>
      <c r="K42" s="3">
        <v>9234670550</v>
      </c>
      <c r="L42" s="3" t="s">
        <v>112</v>
      </c>
    </row>
    <row r="43" spans="1:12" ht="14.25" customHeight="1" x14ac:dyDescent="0.35">
      <c r="A43" s="3">
        <v>38</v>
      </c>
      <c r="B43" s="3" t="s">
        <v>168</v>
      </c>
      <c r="C43" s="3">
        <v>119</v>
      </c>
      <c r="D43" s="3" t="s">
        <v>17</v>
      </c>
      <c r="E43" s="4">
        <v>33880</v>
      </c>
      <c r="F43" s="3" t="s">
        <v>29</v>
      </c>
      <c r="G43" s="5">
        <v>44444</v>
      </c>
      <c r="H43" s="5">
        <v>44931</v>
      </c>
      <c r="I43" s="3">
        <v>10000</v>
      </c>
      <c r="J43" s="3">
        <v>8</v>
      </c>
      <c r="K43" s="3">
        <v>9257334815</v>
      </c>
      <c r="L43" s="3" t="s">
        <v>112</v>
      </c>
    </row>
    <row r="44" spans="1:12" ht="14.25" customHeight="1" x14ac:dyDescent="0.35"/>
    <row r="45" spans="1:12" ht="14.25" customHeight="1" x14ac:dyDescent="0.35"/>
    <row r="46" spans="1:12" ht="14.25" customHeight="1" x14ac:dyDescent="0.35"/>
    <row r="47" spans="1:12" ht="14.25" customHeight="1" x14ac:dyDescent="0.35"/>
    <row r="48" spans="1:1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3:L43" xr:uid="{00000000-0001-0000-0B00-000000000000}">
    <sortState xmlns:xlrd2="http://schemas.microsoft.com/office/spreadsheetml/2017/richdata2" ref="A4:L43">
      <sortCondition descending="1" ref="I3:I43"/>
    </sortState>
  </autoFilter>
  <mergeCells count="1">
    <mergeCell ref="B1:G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selection activeCell="G17" sqref="G17"/>
    </sheetView>
  </sheetViews>
  <sheetFormatPr defaultColWidth="14.453125" defaultRowHeight="15" customHeight="1" x14ac:dyDescent="0.35"/>
  <cols>
    <col min="1" max="1" width="4.453125" customWidth="1"/>
    <col min="2" max="2" width="16.453125" customWidth="1"/>
    <col min="3" max="3" width="7.453125" customWidth="1"/>
    <col min="4" max="4" width="7" customWidth="1"/>
    <col min="5" max="5" width="9.7265625" customWidth="1"/>
    <col min="6" max="6" width="13.08984375" customWidth="1"/>
    <col min="7" max="7" width="11.81640625" customWidth="1"/>
    <col min="8" max="8" width="17.54296875" customWidth="1"/>
    <col min="9" max="9" width="5.81640625" customWidth="1"/>
    <col min="10" max="10" width="14.7265625" customWidth="1"/>
    <col min="11" max="11" width="23.453125" customWidth="1"/>
    <col min="12" max="12" width="9.7265625" customWidth="1"/>
    <col min="13" max="26" width="8.7265625" customWidth="1"/>
  </cols>
  <sheetData>
    <row r="1" spans="1:12" ht="14.25" customHeight="1" x14ac:dyDescent="0.35">
      <c r="B1" s="119" t="s">
        <v>437</v>
      </c>
      <c r="C1" s="107"/>
      <c r="D1" s="107"/>
      <c r="E1" s="107"/>
      <c r="F1" s="107"/>
      <c r="G1" s="107"/>
      <c r="H1" s="108"/>
    </row>
    <row r="2" spans="1:12" ht="14.25" customHeight="1" x14ac:dyDescent="0.35"/>
    <row r="3" spans="1:12" ht="14.25" customHeight="1" x14ac:dyDescent="0.35">
      <c r="A3" s="2" t="s">
        <v>2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 ht="14.25" customHeight="1" x14ac:dyDescent="0.35">
      <c r="A4" s="3">
        <v>1</v>
      </c>
      <c r="B4" s="3" t="s">
        <v>16</v>
      </c>
      <c r="C4" s="3">
        <v>112</v>
      </c>
      <c r="D4" s="3" t="s">
        <v>17</v>
      </c>
      <c r="E4" s="4">
        <v>37084</v>
      </c>
      <c r="F4" s="3" t="s">
        <v>18</v>
      </c>
      <c r="G4" s="5">
        <v>44571</v>
      </c>
      <c r="H4" s="5">
        <v>44958</v>
      </c>
      <c r="I4" s="3">
        <v>42000</v>
      </c>
      <c r="J4" s="3">
        <v>8</v>
      </c>
      <c r="K4" s="3">
        <v>9821934908</v>
      </c>
      <c r="L4" s="3" t="s">
        <v>23</v>
      </c>
    </row>
    <row r="5" spans="1:12" ht="14.25" customHeight="1" x14ac:dyDescent="0.35">
      <c r="A5" s="3">
        <v>2</v>
      </c>
      <c r="B5" s="3" t="s">
        <v>25</v>
      </c>
      <c r="C5" s="3">
        <v>113</v>
      </c>
      <c r="D5" s="3" t="s">
        <v>27</v>
      </c>
      <c r="E5" s="4">
        <v>35354</v>
      </c>
      <c r="F5" s="3" t="s">
        <v>29</v>
      </c>
      <c r="G5" s="5">
        <v>44507</v>
      </c>
      <c r="H5" s="5">
        <v>45224</v>
      </c>
      <c r="I5" s="3">
        <v>35000</v>
      </c>
      <c r="J5" s="3">
        <v>1</v>
      </c>
      <c r="K5" s="3">
        <v>9543693808</v>
      </c>
      <c r="L5" s="3" t="s">
        <v>32</v>
      </c>
    </row>
    <row r="6" spans="1:12" ht="14.25" customHeight="1" x14ac:dyDescent="0.35">
      <c r="A6" s="3">
        <v>3</v>
      </c>
      <c r="B6" s="3" t="s">
        <v>35</v>
      </c>
      <c r="C6" s="3">
        <v>114</v>
      </c>
      <c r="D6" s="3" t="s">
        <v>17</v>
      </c>
      <c r="E6" s="4">
        <v>33266</v>
      </c>
      <c r="F6" s="3" t="s">
        <v>37</v>
      </c>
      <c r="G6" s="5">
        <v>44407</v>
      </c>
      <c r="H6" s="5">
        <v>44558</v>
      </c>
      <c r="I6" s="3">
        <v>35000</v>
      </c>
      <c r="J6" s="3">
        <v>3</v>
      </c>
      <c r="K6" s="3">
        <v>9493205498</v>
      </c>
      <c r="L6" s="3" t="s">
        <v>23</v>
      </c>
    </row>
    <row r="7" spans="1:12" ht="14.25" customHeight="1" x14ac:dyDescent="0.35">
      <c r="A7" s="3">
        <v>4</v>
      </c>
      <c r="B7" s="3" t="s">
        <v>39</v>
      </c>
      <c r="C7" s="3">
        <v>115</v>
      </c>
      <c r="D7" s="3" t="s">
        <v>27</v>
      </c>
      <c r="E7" s="4">
        <v>37111</v>
      </c>
      <c r="F7" s="3" t="s">
        <v>37</v>
      </c>
      <c r="G7" s="5">
        <v>44492</v>
      </c>
      <c r="H7" s="5">
        <v>44598</v>
      </c>
      <c r="I7" s="3">
        <v>18000</v>
      </c>
      <c r="J7" s="3">
        <v>5</v>
      </c>
      <c r="K7" s="3">
        <v>9136087980</v>
      </c>
      <c r="L7" s="3" t="s">
        <v>23</v>
      </c>
    </row>
    <row r="8" spans="1:12" ht="14.25" customHeight="1" x14ac:dyDescent="0.35">
      <c r="A8" s="3">
        <v>5</v>
      </c>
      <c r="B8" s="3" t="s">
        <v>44</v>
      </c>
      <c r="C8" s="3">
        <v>116</v>
      </c>
      <c r="D8" s="3" t="s">
        <v>27</v>
      </c>
      <c r="E8" s="4">
        <v>35151</v>
      </c>
      <c r="F8" s="3" t="s">
        <v>46</v>
      </c>
      <c r="G8" s="5">
        <v>44571</v>
      </c>
      <c r="H8" s="5">
        <v>45048</v>
      </c>
      <c r="I8" s="3">
        <v>35000</v>
      </c>
      <c r="J8" s="3">
        <v>9</v>
      </c>
      <c r="K8" s="3">
        <v>9726733882</v>
      </c>
      <c r="L8" s="3" t="s">
        <v>32</v>
      </c>
    </row>
    <row r="9" spans="1:12" ht="14.25" customHeight="1" x14ac:dyDescent="0.35">
      <c r="A9" s="3">
        <v>6</v>
      </c>
      <c r="B9" s="3" t="s">
        <v>50</v>
      </c>
      <c r="C9" s="3">
        <v>117</v>
      </c>
      <c r="D9" s="3" t="s">
        <v>17</v>
      </c>
      <c r="E9" s="4">
        <v>36885</v>
      </c>
      <c r="F9" s="3" t="s">
        <v>37</v>
      </c>
      <c r="G9" s="5">
        <v>44577</v>
      </c>
      <c r="H9" s="5">
        <v>45304</v>
      </c>
      <c r="I9" s="3">
        <v>42000</v>
      </c>
      <c r="J9" s="3">
        <v>9</v>
      </c>
      <c r="K9" s="3">
        <v>9669292876</v>
      </c>
      <c r="L9" s="3" t="s">
        <v>55</v>
      </c>
    </row>
    <row r="10" spans="1:12" ht="14.25" customHeight="1" x14ac:dyDescent="0.35">
      <c r="A10" s="3">
        <v>7</v>
      </c>
      <c r="B10" s="3" t="s">
        <v>59</v>
      </c>
      <c r="C10" s="3">
        <v>118</v>
      </c>
      <c r="D10" s="3" t="s">
        <v>17</v>
      </c>
      <c r="E10" s="4">
        <v>34319</v>
      </c>
      <c r="F10" s="3" t="s">
        <v>46</v>
      </c>
      <c r="G10" s="5">
        <v>44424</v>
      </c>
      <c r="H10" s="5">
        <v>45054</v>
      </c>
      <c r="I10" s="3">
        <v>10000</v>
      </c>
      <c r="J10" s="3">
        <v>9</v>
      </c>
      <c r="K10" s="3">
        <v>9315204195</v>
      </c>
      <c r="L10" s="3" t="s">
        <v>101</v>
      </c>
    </row>
    <row r="11" spans="1:12" ht="14.25" customHeight="1" x14ac:dyDescent="0.35">
      <c r="A11" s="3">
        <v>8</v>
      </c>
      <c r="B11" s="3" t="s">
        <v>104</v>
      </c>
      <c r="C11" s="3">
        <v>119</v>
      </c>
      <c r="D11" s="3" t="s">
        <v>27</v>
      </c>
      <c r="E11" s="4">
        <v>36250</v>
      </c>
      <c r="F11" s="3" t="s">
        <v>29</v>
      </c>
      <c r="G11" s="5">
        <v>44504</v>
      </c>
      <c r="H11" s="5">
        <v>44707</v>
      </c>
      <c r="I11" s="3">
        <v>18000</v>
      </c>
      <c r="J11" s="3">
        <v>3</v>
      </c>
      <c r="K11" s="3">
        <v>9285113634</v>
      </c>
      <c r="L11" s="3" t="s">
        <v>32</v>
      </c>
    </row>
    <row r="12" spans="1:12" ht="14.25" customHeight="1" x14ac:dyDescent="0.35">
      <c r="A12" s="3">
        <v>9</v>
      </c>
      <c r="B12" s="3" t="s">
        <v>110</v>
      </c>
      <c r="C12" s="3">
        <v>110</v>
      </c>
      <c r="D12" s="3" t="s">
        <v>17</v>
      </c>
      <c r="E12" s="4">
        <v>36109</v>
      </c>
      <c r="F12" s="3" t="s">
        <v>46</v>
      </c>
      <c r="G12" s="5">
        <v>44556</v>
      </c>
      <c r="H12" s="5">
        <v>44992</v>
      </c>
      <c r="I12" s="3">
        <v>35000</v>
      </c>
      <c r="J12" s="3">
        <v>8</v>
      </c>
      <c r="K12" s="3">
        <v>9511890959</v>
      </c>
      <c r="L12" s="3" t="s">
        <v>112</v>
      </c>
    </row>
    <row r="13" spans="1:12" ht="14.25" customHeight="1" x14ac:dyDescent="0.35">
      <c r="A13" s="3">
        <v>10</v>
      </c>
      <c r="B13" s="3" t="s">
        <v>114</v>
      </c>
      <c r="C13" s="3">
        <v>111</v>
      </c>
      <c r="D13" s="3" t="s">
        <v>27</v>
      </c>
      <c r="E13" s="4">
        <v>34701</v>
      </c>
      <c r="F13" s="3" t="s">
        <v>18</v>
      </c>
      <c r="G13" s="5">
        <v>44372</v>
      </c>
      <c r="H13" s="5">
        <v>44835</v>
      </c>
      <c r="I13" s="3">
        <v>18000</v>
      </c>
      <c r="J13" s="3">
        <v>2</v>
      </c>
      <c r="K13" s="3">
        <v>9178537741</v>
      </c>
      <c r="L13" s="3" t="s">
        <v>23</v>
      </c>
    </row>
    <row r="14" spans="1:12" ht="14.25" customHeight="1" x14ac:dyDescent="0.35">
      <c r="A14" s="3">
        <v>11</v>
      </c>
      <c r="B14" s="3" t="s">
        <v>118</v>
      </c>
      <c r="C14" s="3">
        <v>112</v>
      </c>
      <c r="D14" s="3" t="s">
        <v>17</v>
      </c>
      <c r="E14" s="4">
        <v>35642</v>
      </c>
      <c r="F14" s="3" t="s">
        <v>46</v>
      </c>
      <c r="G14" s="5">
        <v>44308</v>
      </c>
      <c r="H14" s="5">
        <v>44677</v>
      </c>
      <c r="I14" s="3">
        <v>10000</v>
      </c>
      <c r="J14" s="3">
        <v>7</v>
      </c>
      <c r="K14" s="3">
        <v>9563258827</v>
      </c>
      <c r="L14" s="3" t="s">
        <v>112</v>
      </c>
    </row>
    <row r="15" spans="1:12" ht="14.25" customHeight="1" x14ac:dyDescent="0.35">
      <c r="A15" s="3">
        <v>12</v>
      </c>
      <c r="B15" s="3" t="s">
        <v>123</v>
      </c>
      <c r="C15" s="3">
        <v>113</v>
      </c>
      <c r="D15" s="3" t="s">
        <v>17</v>
      </c>
      <c r="E15" s="4">
        <v>35710</v>
      </c>
      <c r="F15" s="3" t="s">
        <v>37</v>
      </c>
      <c r="G15" s="5">
        <v>44382</v>
      </c>
      <c r="H15" s="5">
        <v>44681</v>
      </c>
      <c r="I15" s="3">
        <v>20000</v>
      </c>
      <c r="J15" s="3">
        <v>1</v>
      </c>
      <c r="K15" s="3">
        <v>9903668284</v>
      </c>
      <c r="L15" s="3" t="s">
        <v>112</v>
      </c>
    </row>
    <row r="16" spans="1:12" ht="14.25" customHeight="1" x14ac:dyDescent="0.35">
      <c r="A16" s="3">
        <v>13</v>
      </c>
      <c r="B16" s="3" t="s">
        <v>127</v>
      </c>
      <c r="C16" s="3">
        <v>114</v>
      </c>
      <c r="D16" s="3" t="s">
        <v>27</v>
      </c>
      <c r="E16" s="4">
        <v>37121</v>
      </c>
      <c r="F16" s="3" t="s">
        <v>46</v>
      </c>
      <c r="G16" s="5">
        <v>44395</v>
      </c>
      <c r="H16" s="5">
        <v>45049</v>
      </c>
      <c r="I16" s="3">
        <v>35000</v>
      </c>
      <c r="J16" s="3">
        <v>8</v>
      </c>
      <c r="K16" s="3">
        <v>9412491495</v>
      </c>
      <c r="L16" s="3" t="s">
        <v>55</v>
      </c>
    </row>
    <row r="17" spans="1:12" ht="14.25" customHeight="1" x14ac:dyDescent="0.35">
      <c r="A17" s="3">
        <v>14</v>
      </c>
      <c r="B17" s="3" t="s">
        <v>130</v>
      </c>
      <c r="C17" s="3">
        <v>115</v>
      </c>
      <c r="D17" s="3" t="s">
        <v>27</v>
      </c>
      <c r="E17" s="4">
        <v>35440</v>
      </c>
      <c r="F17" s="3" t="s">
        <v>18</v>
      </c>
      <c r="G17" s="5">
        <v>44617</v>
      </c>
      <c r="H17" s="5">
        <v>45195</v>
      </c>
      <c r="I17" s="3">
        <v>42000</v>
      </c>
      <c r="J17" s="3">
        <v>10</v>
      </c>
      <c r="K17" s="3">
        <v>9580977285</v>
      </c>
      <c r="L17" s="3" t="s">
        <v>101</v>
      </c>
    </row>
    <row r="18" spans="1:12" ht="14.25" customHeight="1" x14ac:dyDescent="0.35">
      <c r="A18" s="3">
        <v>15</v>
      </c>
      <c r="B18" s="3" t="s">
        <v>132</v>
      </c>
      <c r="C18" s="3">
        <v>116</v>
      </c>
      <c r="D18" s="3" t="s">
        <v>17</v>
      </c>
      <c r="E18" s="4">
        <v>35105</v>
      </c>
      <c r="F18" s="3" t="s">
        <v>37</v>
      </c>
      <c r="G18" s="5">
        <v>44300</v>
      </c>
      <c r="H18" s="5">
        <v>44785</v>
      </c>
      <c r="I18" s="3">
        <v>20000</v>
      </c>
      <c r="J18" s="3">
        <v>2</v>
      </c>
      <c r="K18" s="3">
        <v>9543199239</v>
      </c>
      <c r="L18" s="3" t="s">
        <v>55</v>
      </c>
    </row>
    <row r="19" spans="1:12" ht="14.25" customHeight="1" x14ac:dyDescent="0.35">
      <c r="A19" s="3">
        <v>16</v>
      </c>
      <c r="B19" s="3" t="s">
        <v>134</v>
      </c>
      <c r="C19" s="3">
        <v>117</v>
      </c>
      <c r="D19" s="3" t="s">
        <v>17</v>
      </c>
      <c r="E19" s="4">
        <v>35649</v>
      </c>
      <c r="F19" s="3" t="s">
        <v>46</v>
      </c>
      <c r="G19" s="5">
        <v>44565</v>
      </c>
      <c r="H19" s="5">
        <v>44725</v>
      </c>
      <c r="I19" s="3">
        <v>10000</v>
      </c>
      <c r="J19" s="3">
        <v>7</v>
      </c>
      <c r="K19" s="3">
        <v>9712763149</v>
      </c>
      <c r="L19" s="3" t="s">
        <v>112</v>
      </c>
    </row>
    <row r="20" spans="1:12" ht="14.25" customHeight="1" x14ac:dyDescent="0.35">
      <c r="A20" s="3">
        <v>17</v>
      </c>
      <c r="B20" s="3" t="s">
        <v>135</v>
      </c>
      <c r="C20" s="3">
        <v>118</v>
      </c>
      <c r="D20" s="3" t="s">
        <v>17</v>
      </c>
      <c r="E20" s="4">
        <v>35946</v>
      </c>
      <c r="F20" s="3" t="s">
        <v>18</v>
      </c>
      <c r="G20" s="5">
        <v>44494</v>
      </c>
      <c r="H20" s="5">
        <v>45097</v>
      </c>
      <c r="I20" s="3">
        <v>10000</v>
      </c>
      <c r="J20" s="3">
        <v>5</v>
      </c>
      <c r="K20" s="3">
        <v>9750297284</v>
      </c>
      <c r="L20" s="3" t="s">
        <v>32</v>
      </c>
    </row>
    <row r="21" spans="1:12" ht="14.25" customHeight="1" x14ac:dyDescent="0.35">
      <c r="A21" s="3">
        <v>18</v>
      </c>
      <c r="B21" s="3" t="s">
        <v>137</v>
      </c>
      <c r="C21" s="3">
        <v>119</v>
      </c>
      <c r="D21" s="3" t="s">
        <v>27</v>
      </c>
      <c r="E21" s="4">
        <v>35239</v>
      </c>
      <c r="F21" s="3" t="s">
        <v>29</v>
      </c>
      <c r="G21" s="5">
        <v>44332</v>
      </c>
      <c r="H21" s="5">
        <v>44673</v>
      </c>
      <c r="I21" s="3">
        <v>35000</v>
      </c>
      <c r="J21" s="3">
        <v>9</v>
      </c>
      <c r="K21" s="3">
        <v>9356037554</v>
      </c>
      <c r="L21" s="3" t="s">
        <v>112</v>
      </c>
    </row>
    <row r="22" spans="1:12" ht="14.25" customHeight="1" x14ac:dyDescent="0.35">
      <c r="A22" s="3">
        <v>19</v>
      </c>
      <c r="B22" s="3" t="s">
        <v>139</v>
      </c>
      <c r="C22" s="3">
        <v>120</v>
      </c>
      <c r="D22" s="3" t="s">
        <v>27</v>
      </c>
      <c r="E22" s="4">
        <v>33573</v>
      </c>
      <c r="F22" s="3" t="s">
        <v>18</v>
      </c>
      <c r="G22" s="5">
        <v>44604</v>
      </c>
      <c r="H22" s="5">
        <v>45195</v>
      </c>
      <c r="I22" s="3">
        <v>20000</v>
      </c>
      <c r="J22" s="3">
        <v>3</v>
      </c>
      <c r="K22" s="3">
        <v>9816090272</v>
      </c>
      <c r="L22" s="3" t="s">
        <v>101</v>
      </c>
    </row>
    <row r="23" spans="1:12" ht="14.25" customHeight="1" x14ac:dyDescent="0.35">
      <c r="A23" s="3">
        <v>20</v>
      </c>
      <c r="B23" s="3" t="s">
        <v>140</v>
      </c>
      <c r="C23" s="3">
        <v>121</v>
      </c>
      <c r="D23" s="3" t="s">
        <v>27</v>
      </c>
      <c r="E23" s="4">
        <v>36573</v>
      </c>
      <c r="F23" s="3" t="s">
        <v>18</v>
      </c>
      <c r="G23" s="5">
        <v>44438</v>
      </c>
      <c r="H23" s="5">
        <v>44857</v>
      </c>
      <c r="I23" s="3">
        <v>20000</v>
      </c>
      <c r="J23" s="3">
        <v>6</v>
      </c>
      <c r="K23" s="3">
        <v>9372396296</v>
      </c>
      <c r="L23" s="3" t="s">
        <v>55</v>
      </c>
    </row>
    <row r="24" spans="1:12" ht="14.25" customHeight="1" x14ac:dyDescent="0.35">
      <c r="A24" s="3">
        <v>21</v>
      </c>
      <c r="B24" s="3" t="s">
        <v>143</v>
      </c>
      <c r="C24" s="3">
        <v>112</v>
      </c>
      <c r="D24" s="3" t="s">
        <v>17</v>
      </c>
      <c r="E24" s="4">
        <v>37047</v>
      </c>
      <c r="F24" s="3" t="s">
        <v>46</v>
      </c>
      <c r="G24" s="5">
        <v>44431</v>
      </c>
      <c r="H24" s="5">
        <v>45038</v>
      </c>
      <c r="I24" s="3">
        <v>18000</v>
      </c>
      <c r="J24" s="3">
        <v>1</v>
      </c>
      <c r="K24" s="3">
        <v>9756436801</v>
      </c>
      <c r="L24" s="3" t="s">
        <v>23</v>
      </c>
    </row>
    <row r="25" spans="1:12" ht="14.25" customHeight="1" x14ac:dyDescent="0.35">
      <c r="A25" s="3">
        <v>22</v>
      </c>
      <c r="B25" s="3" t="s">
        <v>145</v>
      </c>
      <c r="C25" s="3">
        <v>113</v>
      </c>
      <c r="D25" s="3" t="s">
        <v>17</v>
      </c>
      <c r="E25" s="4">
        <v>37089</v>
      </c>
      <c r="F25" s="3" t="s">
        <v>37</v>
      </c>
      <c r="G25" s="5">
        <v>44553</v>
      </c>
      <c r="H25" s="5">
        <v>44950</v>
      </c>
      <c r="I25" s="3">
        <v>35000</v>
      </c>
      <c r="J25" s="3">
        <v>6</v>
      </c>
      <c r="K25" s="3">
        <v>9260569132</v>
      </c>
      <c r="L25" s="3" t="s">
        <v>32</v>
      </c>
    </row>
    <row r="26" spans="1:12" ht="14.25" customHeight="1" x14ac:dyDescent="0.35">
      <c r="A26" s="3">
        <v>23</v>
      </c>
      <c r="B26" s="3" t="s">
        <v>146</v>
      </c>
      <c r="C26" s="3">
        <v>114</v>
      </c>
      <c r="D26" s="3" t="s">
        <v>27</v>
      </c>
      <c r="E26" s="4">
        <v>33699</v>
      </c>
      <c r="F26" s="3" t="s">
        <v>29</v>
      </c>
      <c r="G26" s="5">
        <v>44577</v>
      </c>
      <c r="H26" s="5">
        <v>45149</v>
      </c>
      <c r="I26" s="3">
        <v>20000</v>
      </c>
      <c r="J26" s="3">
        <v>3</v>
      </c>
      <c r="K26" s="3">
        <v>9521494464</v>
      </c>
      <c r="L26" s="3" t="s">
        <v>23</v>
      </c>
    </row>
    <row r="27" spans="1:12" ht="14.25" customHeight="1" x14ac:dyDescent="0.35">
      <c r="A27" s="3">
        <v>24</v>
      </c>
      <c r="B27" s="3" t="s">
        <v>148</v>
      </c>
      <c r="C27" s="3">
        <v>115</v>
      </c>
      <c r="D27" s="3" t="s">
        <v>27</v>
      </c>
      <c r="E27" s="4">
        <v>35431</v>
      </c>
      <c r="F27" s="3" t="s">
        <v>37</v>
      </c>
      <c r="G27" s="5">
        <v>44507</v>
      </c>
      <c r="H27" s="5">
        <v>44885</v>
      </c>
      <c r="I27" s="3">
        <v>18000</v>
      </c>
      <c r="J27" s="3">
        <v>7</v>
      </c>
      <c r="K27" s="3">
        <v>9592356344</v>
      </c>
      <c r="L27" s="3" t="s">
        <v>23</v>
      </c>
    </row>
    <row r="28" spans="1:12" ht="14.25" customHeight="1" x14ac:dyDescent="0.35">
      <c r="A28" s="3">
        <v>25</v>
      </c>
      <c r="B28" s="3" t="s">
        <v>149</v>
      </c>
      <c r="C28" s="3">
        <v>116</v>
      </c>
      <c r="D28" s="3" t="s">
        <v>27</v>
      </c>
      <c r="E28" s="4">
        <v>37062</v>
      </c>
      <c r="F28" s="3" t="s">
        <v>37</v>
      </c>
      <c r="G28" s="5">
        <v>44456</v>
      </c>
      <c r="H28" s="5">
        <v>44872</v>
      </c>
      <c r="I28" s="3">
        <v>20000</v>
      </c>
      <c r="J28" s="3">
        <v>10</v>
      </c>
      <c r="K28" s="3">
        <v>9420689442</v>
      </c>
      <c r="L28" s="3" t="s">
        <v>32</v>
      </c>
    </row>
    <row r="29" spans="1:12" ht="14.25" customHeight="1" x14ac:dyDescent="0.35">
      <c r="A29" s="3">
        <v>26</v>
      </c>
      <c r="B29" s="3" t="s">
        <v>150</v>
      </c>
      <c r="C29" s="3">
        <v>117</v>
      </c>
      <c r="D29" s="3" t="s">
        <v>27</v>
      </c>
      <c r="E29" s="4">
        <v>33962</v>
      </c>
      <c r="F29" s="3" t="s">
        <v>46</v>
      </c>
      <c r="G29" s="5">
        <v>44417</v>
      </c>
      <c r="H29" s="5">
        <v>44946</v>
      </c>
      <c r="I29" s="3">
        <v>20000</v>
      </c>
      <c r="J29" s="3">
        <v>10</v>
      </c>
      <c r="K29" s="3">
        <v>9323047053</v>
      </c>
      <c r="L29" s="3" t="s">
        <v>55</v>
      </c>
    </row>
    <row r="30" spans="1:12" ht="14.25" customHeight="1" x14ac:dyDescent="0.35">
      <c r="A30" s="3">
        <v>27</v>
      </c>
      <c r="B30" s="3" t="s">
        <v>151</v>
      </c>
      <c r="C30" s="3">
        <v>118</v>
      </c>
      <c r="D30" s="3" t="s">
        <v>17</v>
      </c>
      <c r="E30" s="4">
        <v>36619</v>
      </c>
      <c r="F30" s="3" t="s">
        <v>46</v>
      </c>
      <c r="G30" s="5">
        <v>44395</v>
      </c>
      <c r="H30" s="5">
        <v>44512</v>
      </c>
      <c r="I30" s="3">
        <v>35000</v>
      </c>
      <c r="J30" s="3">
        <v>7</v>
      </c>
      <c r="K30" s="3">
        <v>9175236256</v>
      </c>
      <c r="L30" s="3" t="s">
        <v>101</v>
      </c>
    </row>
    <row r="31" spans="1:12" ht="14.25" customHeight="1" x14ac:dyDescent="0.35">
      <c r="A31" s="3">
        <v>28</v>
      </c>
      <c r="B31" s="3" t="s">
        <v>153</v>
      </c>
      <c r="C31" s="3">
        <v>119</v>
      </c>
      <c r="D31" s="3" t="s">
        <v>17</v>
      </c>
      <c r="E31" s="4">
        <v>35339</v>
      </c>
      <c r="F31" s="3" t="s">
        <v>46</v>
      </c>
      <c r="G31" s="5">
        <v>44517</v>
      </c>
      <c r="H31" s="5">
        <v>44926</v>
      </c>
      <c r="I31" s="3">
        <v>35000</v>
      </c>
      <c r="J31" s="3">
        <v>6</v>
      </c>
      <c r="K31" s="3">
        <v>9650155772</v>
      </c>
      <c r="L31" s="3" t="s">
        <v>32</v>
      </c>
    </row>
    <row r="32" spans="1:12" ht="14.25" customHeight="1" x14ac:dyDescent="0.35">
      <c r="A32" s="3">
        <v>29</v>
      </c>
      <c r="B32" s="3" t="s">
        <v>154</v>
      </c>
      <c r="C32" s="3">
        <v>110</v>
      </c>
      <c r="D32" s="3" t="s">
        <v>17</v>
      </c>
      <c r="E32" s="4">
        <v>34578</v>
      </c>
      <c r="F32" s="3" t="s">
        <v>18</v>
      </c>
      <c r="G32" s="5">
        <v>44357</v>
      </c>
      <c r="H32" s="5">
        <v>44560</v>
      </c>
      <c r="I32" s="3">
        <v>10000</v>
      </c>
      <c r="J32" s="3">
        <v>7</v>
      </c>
      <c r="K32" s="3">
        <v>9108489803</v>
      </c>
      <c r="L32" s="3" t="s">
        <v>112</v>
      </c>
    </row>
    <row r="33" spans="1:12" ht="14.25" customHeight="1" x14ac:dyDescent="0.35">
      <c r="A33" s="3">
        <v>30</v>
      </c>
      <c r="B33" s="3" t="s">
        <v>156</v>
      </c>
      <c r="C33" s="3">
        <v>111</v>
      </c>
      <c r="D33" s="3" t="s">
        <v>17</v>
      </c>
      <c r="E33" s="4">
        <v>34635</v>
      </c>
      <c r="F33" s="3" t="s">
        <v>46</v>
      </c>
      <c r="G33" s="5">
        <v>44409</v>
      </c>
      <c r="H33" s="5">
        <v>45060</v>
      </c>
      <c r="I33" s="3">
        <v>18000</v>
      </c>
      <c r="J33" s="3">
        <v>5</v>
      </c>
      <c r="K33" s="3">
        <v>9175153983</v>
      </c>
      <c r="L33" s="3" t="s">
        <v>23</v>
      </c>
    </row>
    <row r="34" spans="1:12" ht="14.25" customHeight="1" x14ac:dyDescent="0.35">
      <c r="A34" s="3">
        <v>31</v>
      </c>
      <c r="B34" s="3" t="s">
        <v>157</v>
      </c>
      <c r="C34" s="3">
        <v>112</v>
      </c>
      <c r="D34" s="3" t="s">
        <v>27</v>
      </c>
      <c r="E34" s="4">
        <v>37176</v>
      </c>
      <c r="F34" s="3" t="s">
        <v>37</v>
      </c>
      <c r="G34" s="5">
        <v>44325</v>
      </c>
      <c r="H34" s="5">
        <v>44976</v>
      </c>
      <c r="I34" s="3">
        <v>10000</v>
      </c>
      <c r="J34" s="3">
        <v>3</v>
      </c>
      <c r="K34" s="3">
        <v>9256089954</v>
      </c>
      <c r="L34" s="3" t="s">
        <v>112</v>
      </c>
    </row>
    <row r="35" spans="1:12" ht="14.25" customHeight="1" x14ac:dyDescent="0.35">
      <c r="A35" s="3">
        <v>32</v>
      </c>
      <c r="B35" s="3" t="s">
        <v>158</v>
      </c>
      <c r="C35" s="3">
        <v>113</v>
      </c>
      <c r="D35" s="3" t="s">
        <v>17</v>
      </c>
      <c r="E35" s="4">
        <v>36068</v>
      </c>
      <c r="F35" s="3" t="s">
        <v>37</v>
      </c>
      <c r="G35" s="5">
        <v>44408</v>
      </c>
      <c r="H35" s="5">
        <v>44988</v>
      </c>
      <c r="I35" s="3">
        <v>35000</v>
      </c>
      <c r="J35" s="3">
        <v>4</v>
      </c>
      <c r="K35" s="3">
        <v>9471908056</v>
      </c>
      <c r="L35" s="3" t="s">
        <v>112</v>
      </c>
    </row>
    <row r="36" spans="1:12" ht="14.25" customHeight="1" x14ac:dyDescent="0.35">
      <c r="A36" s="3">
        <v>33</v>
      </c>
      <c r="B36" s="3" t="s">
        <v>159</v>
      </c>
      <c r="C36" s="3">
        <v>114</v>
      </c>
      <c r="D36" s="3" t="s">
        <v>17</v>
      </c>
      <c r="E36" s="4">
        <v>34912</v>
      </c>
      <c r="F36" s="3" t="s">
        <v>29</v>
      </c>
      <c r="G36" s="5">
        <v>44512</v>
      </c>
      <c r="H36" s="5">
        <v>44625</v>
      </c>
      <c r="I36" s="3">
        <v>35000</v>
      </c>
      <c r="J36" s="3">
        <v>7</v>
      </c>
      <c r="K36" s="3">
        <v>9361742681</v>
      </c>
      <c r="L36" s="3" t="s">
        <v>55</v>
      </c>
    </row>
    <row r="37" spans="1:12" ht="14.25" customHeight="1" x14ac:dyDescent="0.35">
      <c r="A37" s="3">
        <v>34</v>
      </c>
      <c r="B37" s="3" t="s">
        <v>162</v>
      </c>
      <c r="C37" s="3">
        <v>115</v>
      </c>
      <c r="D37" s="3" t="s">
        <v>17</v>
      </c>
      <c r="E37" s="4">
        <v>36437</v>
      </c>
      <c r="F37" s="3" t="s">
        <v>46</v>
      </c>
      <c r="G37" s="5">
        <v>44593</v>
      </c>
      <c r="H37" s="5">
        <v>45316</v>
      </c>
      <c r="I37" s="3">
        <v>20000</v>
      </c>
      <c r="J37" s="3">
        <v>6</v>
      </c>
      <c r="K37" s="3">
        <v>9550307866</v>
      </c>
      <c r="L37" s="3" t="s">
        <v>101</v>
      </c>
    </row>
    <row r="38" spans="1:12" ht="14.25" customHeight="1" x14ac:dyDescent="0.35">
      <c r="A38" s="3">
        <v>35</v>
      </c>
      <c r="B38" s="3" t="s">
        <v>164</v>
      </c>
      <c r="C38" s="3">
        <v>116</v>
      </c>
      <c r="D38" s="3" t="s">
        <v>27</v>
      </c>
      <c r="E38" s="4">
        <v>33535</v>
      </c>
      <c r="F38" s="3" t="s">
        <v>18</v>
      </c>
      <c r="G38" s="5">
        <v>44467</v>
      </c>
      <c r="H38" s="5">
        <v>44659</v>
      </c>
      <c r="I38" s="3">
        <v>10000</v>
      </c>
      <c r="J38" s="3">
        <v>7</v>
      </c>
      <c r="K38" s="3">
        <v>9456201256</v>
      </c>
      <c r="L38" s="3" t="s">
        <v>55</v>
      </c>
    </row>
    <row r="39" spans="1:12" ht="14.25" customHeight="1" x14ac:dyDescent="0.35">
      <c r="A39" s="3">
        <v>36</v>
      </c>
      <c r="B39" s="3" t="s">
        <v>166</v>
      </c>
      <c r="C39" s="3">
        <v>117</v>
      </c>
      <c r="D39" s="3" t="s">
        <v>27</v>
      </c>
      <c r="E39" s="4">
        <v>35077</v>
      </c>
      <c r="F39" s="3" t="s">
        <v>37</v>
      </c>
      <c r="G39" s="5">
        <v>44315</v>
      </c>
      <c r="H39" s="5">
        <v>44668</v>
      </c>
      <c r="I39" s="3">
        <v>10000</v>
      </c>
      <c r="J39" s="3">
        <v>2</v>
      </c>
      <c r="K39" s="3">
        <v>9234670550</v>
      </c>
      <c r="L39" s="3" t="s">
        <v>112</v>
      </c>
    </row>
    <row r="40" spans="1:12" ht="14.25" customHeight="1" x14ac:dyDescent="0.35">
      <c r="A40" s="3">
        <v>37</v>
      </c>
      <c r="B40" s="3" t="s">
        <v>167</v>
      </c>
      <c r="C40" s="3">
        <v>118</v>
      </c>
      <c r="D40" s="3" t="s">
        <v>17</v>
      </c>
      <c r="E40" s="4">
        <v>33690</v>
      </c>
      <c r="F40" s="3" t="s">
        <v>29</v>
      </c>
      <c r="G40" s="5">
        <v>44605</v>
      </c>
      <c r="H40" s="5">
        <v>45179</v>
      </c>
      <c r="I40" s="3">
        <v>35000</v>
      </c>
      <c r="J40" s="3">
        <v>9</v>
      </c>
      <c r="K40" s="3">
        <v>9623465455</v>
      </c>
      <c r="L40" s="3" t="s">
        <v>32</v>
      </c>
    </row>
    <row r="41" spans="1:12" ht="14.25" customHeight="1" x14ac:dyDescent="0.35">
      <c r="A41" s="3">
        <v>38</v>
      </c>
      <c r="B41" s="3" t="s">
        <v>168</v>
      </c>
      <c r="C41" s="3">
        <v>119</v>
      </c>
      <c r="D41" s="3" t="s">
        <v>17</v>
      </c>
      <c r="E41" s="4">
        <v>33880</v>
      </c>
      <c r="F41" s="3" t="s">
        <v>29</v>
      </c>
      <c r="G41" s="5">
        <v>44444</v>
      </c>
      <c r="H41" s="5">
        <v>44931</v>
      </c>
      <c r="I41" s="3">
        <v>10000</v>
      </c>
      <c r="J41" s="3">
        <v>8</v>
      </c>
      <c r="K41" s="3">
        <v>9257334815</v>
      </c>
      <c r="L41" s="3" t="s">
        <v>112</v>
      </c>
    </row>
    <row r="42" spans="1:12" ht="14.25" customHeight="1" x14ac:dyDescent="0.35">
      <c r="A42" s="3">
        <v>39</v>
      </c>
      <c r="B42" s="3" t="s">
        <v>170</v>
      </c>
      <c r="C42" s="3">
        <v>120</v>
      </c>
      <c r="D42" s="3" t="s">
        <v>27</v>
      </c>
      <c r="E42" s="4">
        <v>33960</v>
      </c>
      <c r="F42" s="3" t="s">
        <v>46</v>
      </c>
      <c r="G42" s="5">
        <v>44456</v>
      </c>
      <c r="H42" s="5">
        <v>44940</v>
      </c>
      <c r="I42" s="3">
        <v>35000</v>
      </c>
      <c r="J42" s="3">
        <v>10</v>
      </c>
      <c r="K42" s="3">
        <v>9463131191</v>
      </c>
      <c r="L42" s="3" t="s">
        <v>101</v>
      </c>
    </row>
    <row r="43" spans="1:12" ht="14.25" customHeight="1" x14ac:dyDescent="0.35">
      <c r="A43" s="3">
        <v>40</v>
      </c>
      <c r="B43" s="3" t="s">
        <v>171</v>
      </c>
      <c r="C43" s="3">
        <v>121</v>
      </c>
      <c r="D43" s="3" t="s">
        <v>17</v>
      </c>
      <c r="E43" s="4">
        <v>35680</v>
      </c>
      <c r="F43" s="3" t="s">
        <v>29</v>
      </c>
      <c r="G43" s="5">
        <v>44565</v>
      </c>
      <c r="H43" s="5">
        <v>45215</v>
      </c>
      <c r="I43" s="3">
        <v>18000</v>
      </c>
      <c r="J43" s="3">
        <v>3</v>
      </c>
      <c r="K43" s="3">
        <v>9659532373</v>
      </c>
      <c r="L43" s="3" t="s">
        <v>55</v>
      </c>
    </row>
    <row r="44" spans="1:12" ht="14.25" customHeight="1" x14ac:dyDescent="0.35"/>
    <row r="45" spans="1:12" ht="14.25" customHeight="1" x14ac:dyDescent="0.35"/>
    <row r="46" spans="1:12" ht="14.25" customHeight="1" x14ac:dyDescent="0.35"/>
    <row r="47" spans="1:12" ht="14.25" customHeight="1" x14ac:dyDescent="0.35"/>
    <row r="48" spans="1:1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1:H1"/>
  </mergeCells>
  <conditionalFormatting sqref="B4:B43">
    <cfRule type="duplicateValues" dxfId="1" priority="1"/>
  </conditionalFormatting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1000"/>
  <sheetViews>
    <sheetView workbookViewId="0">
      <selection activeCell="B2" sqref="B2"/>
    </sheetView>
  </sheetViews>
  <sheetFormatPr defaultColWidth="14.453125" defaultRowHeight="15" customHeight="1" x14ac:dyDescent="0.35"/>
  <cols>
    <col min="1" max="1" width="8.7265625" customWidth="1"/>
    <col min="2" max="2" width="16.453125" customWidth="1"/>
    <col min="3" max="3" width="7.453125" customWidth="1"/>
    <col min="4" max="4" width="7" customWidth="1"/>
    <col min="5" max="5" width="9.7265625" customWidth="1"/>
    <col min="6" max="6" width="13.08984375" customWidth="1"/>
    <col min="7" max="7" width="11.81640625" customWidth="1"/>
    <col min="8" max="8" width="17.54296875" customWidth="1"/>
    <col min="9" max="9" width="5.81640625" customWidth="1"/>
    <col min="10" max="10" width="14.7265625" customWidth="1"/>
    <col min="11" max="11" width="23.453125" customWidth="1"/>
    <col min="12" max="12" width="9.7265625" customWidth="1"/>
    <col min="13" max="26" width="8.7265625" customWidth="1"/>
  </cols>
  <sheetData>
    <row r="1" spans="2:12" ht="14.25" customHeight="1" x14ac:dyDescent="0.35">
      <c r="C1" s="119" t="s">
        <v>315</v>
      </c>
      <c r="D1" s="107"/>
      <c r="E1" s="107"/>
      <c r="F1" s="107"/>
      <c r="G1" s="107"/>
      <c r="H1" s="108"/>
    </row>
    <row r="2" spans="2:12" ht="14.25" customHeight="1" x14ac:dyDescent="0.35"/>
    <row r="3" spans="2:12" ht="14.25" customHeight="1" x14ac:dyDescent="0.35"/>
    <row r="4" spans="2:12" ht="14.25" customHeight="1" x14ac:dyDescent="0.35"/>
    <row r="5" spans="2:12" ht="14.25" customHeight="1" x14ac:dyDescent="0.35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 spans="2:12" ht="14.25" customHeight="1" x14ac:dyDescent="0.35">
      <c r="B6" s="3" t="s">
        <v>16</v>
      </c>
      <c r="C6" s="3">
        <v>112</v>
      </c>
      <c r="D6" s="3" t="s">
        <v>17</v>
      </c>
      <c r="E6" s="4">
        <v>37084</v>
      </c>
      <c r="F6" s="3" t="s">
        <v>18</v>
      </c>
      <c r="G6" s="5">
        <v>44571</v>
      </c>
      <c r="H6" s="5">
        <v>44958</v>
      </c>
      <c r="I6" s="3">
        <v>42000</v>
      </c>
      <c r="J6" s="3">
        <v>8</v>
      </c>
      <c r="K6" s="3">
        <v>9821934908</v>
      </c>
      <c r="L6" s="3" t="s">
        <v>23</v>
      </c>
    </row>
    <row r="7" spans="2:12" ht="14.25" customHeight="1" x14ac:dyDescent="0.35">
      <c r="B7" s="3" t="s">
        <v>25</v>
      </c>
      <c r="C7" s="3">
        <v>113</v>
      </c>
      <c r="D7" s="3" t="s">
        <v>27</v>
      </c>
      <c r="E7" s="4">
        <v>35354</v>
      </c>
      <c r="F7" s="3" t="s">
        <v>29</v>
      </c>
      <c r="G7" s="5">
        <v>44507</v>
      </c>
      <c r="H7" s="5">
        <v>45224</v>
      </c>
      <c r="I7" s="3">
        <v>35000</v>
      </c>
      <c r="J7" s="3">
        <v>1</v>
      </c>
      <c r="K7" s="3">
        <v>9543693808</v>
      </c>
      <c r="L7" s="3" t="s">
        <v>32</v>
      </c>
    </row>
    <row r="8" spans="2:12" ht="14.25" customHeight="1" x14ac:dyDescent="0.35">
      <c r="B8" s="3" t="s">
        <v>35</v>
      </c>
      <c r="C8" s="3">
        <v>114</v>
      </c>
      <c r="D8" s="3" t="s">
        <v>17</v>
      </c>
      <c r="E8" s="4">
        <v>33266</v>
      </c>
      <c r="F8" s="3" t="s">
        <v>37</v>
      </c>
      <c r="G8" s="5">
        <v>44407</v>
      </c>
      <c r="H8" s="5">
        <v>44558</v>
      </c>
      <c r="I8" s="3">
        <v>35000</v>
      </c>
      <c r="J8" s="3">
        <v>3</v>
      </c>
      <c r="K8" s="3">
        <v>9493205498</v>
      </c>
      <c r="L8" s="3" t="s">
        <v>23</v>
      </c>
    </row>
    <row r="9" spans="2:12" ht="14.25" customHeight="1" x14ac:dyDescent="0.35">
      <c r="B9" s="3" t="s">
        <v>39</v>
      </c>
      <c r="C9" s="3">
        <v>115</v>
      </c>
      <c r="D9" s="3" t="s">
        <v>27</v>
      </c>
      <c r="E9" s="4">
        <v>37111</v>
      </c>
      <c r="F9" s="3" t="s">
        <v>37</v>
      </c>
      <c r="G9" s="5">
        <v>44492</v>
      </c>
      <c r="H9" s="5">
        <v>44598</v>
      </c>
      <c r="I9" s="3">
        <v>18000</v>
      </c>
      <c r="J9" s="3">
        <v>5</v>
      </c>
      <c r="K9" s="3">
        <v>9136087980</v>
      </c>
      <c r="L9" s="3" t="s">
        <v>23</v>
      </c>
    </row>
    <row r="10" spans="2:12" ht="14.25" customHeight="1" x14ac:dyDescent="0.35">
      <c r="B10" s="3" t="s">
        <v>44</v>
      </c>
      <c r="C10" s="3">
        <v>116</v>
      </c>
      <c r="D10" s="3" t="s">
        <v>27</v>
      </c>
      <c r="E10" s="4">
        <v>35151</v>
      </c>
      <c r="F10" s="3" t="s">
        <v>46</v>
      </c>
      <c r="G10" s="5">
        <v>44571</v>
      </c>
      <c r="H10" s="5">
        <v>45048</v>
      </c>
      <c r="I10" s="3">
        <v>35000</v>
      </c>
      <c r="J10" s="3">
        <v>9</v>
      </c>
      <c r="K10" s="3">
        <v>9726733882</v>
      </c>
      <c r="L10" s="3" t="s">
        <v>32</v>
      </c>
    </row>
    <row r="11" spans="2:12" ht="14.25" customHeight="1" x14ac:dyDescent="0.35">
      <c r="B11" s="3" t="s">
        <v>50</v>
      </c>
      <c r="C11" s="3">
        <v>117</v>
      </c>
      <c r="D11" s="3" t="s">
        <v>17</v>
      </c>
      <c r="E11" s="4">
        <v>36885</v>
      </c>
      <c r="F11" s="3" t="s">
        <v>37</v>
      </c>
      <c r="G11" s="5">
        <v>44577</v>
      </c>
      <c r="H11" s="5">
        <v>45304</v>
      </c>
      <c r="I11" s="3">
        <v>42000</v>
      </c>
      <c r="J11" s="3">
        <v>9</v>
      </c>
      <c r="K11" s="3">
        <v>9669292876</v>
      </c>
      <c r="L11" s="3" t="s">
        <v>55</v>
      </c>
    </row>
    <row r="12" spans="2:12" ht="14.25" customHeight="1" x14ac:dyDescent="0.35">
      <c r="B12" s="3" t="s">
        <v>59</v>
      </c>
      <c r="C12" s="3">
        <v>118</v>
      </c>
      <c r="D12" s="3" t="s">
        <v>17</v>
      </c>
      <c r="E12" s="4">
        <v>34319</v>
      </c>
      <c r="F12" s="3" t="s">
        <v>46</v>
      </c>
      <c r="G12" s="5">
        <v>44424</v>
      </c>
      <c r="H12" s="5">
        <v>45054</v>
      </c>
      <c r="I12" s="3">
        <v>10000</v>
      </c>
      <c r="J12" s="3">
        <v>9</v>
      </c>
      <c r="K12" s="3">
        <v>9315204195</v>
      </c>
      <c r="L12" s="3" t="s">
        <v>101</v>
      </c>
    </row>
    <row r="13" spans="2:12" ht="14.25" customHeight="1" x14ac:dyDescent="0.35">
      <c r="B13" s="3" t="s">
        <v>104</v>
      </c>
      <c r="C13" s="3">
        <v>119</v>
      </c>
      <c r="D13" s="3" t="s">
        <v>27</v>
      </c>
      <c r="E13" s="4">
        <v>36250</v>
      </c>
      <c r="F13" s="3" t="s">
        <v>29</v>
      </c>
      <c r="G13" s="5">
        <v>44504</v>
      </c>
      <c r="H13" s="5">
        <v>44707</v>
      </c>
      <c r="I13" s="3">
        <v>18000</v>
      </c>
      <c r="J13" s="3">
        <v>3</v>
      </c>
      <c r="K13" s="3">
        <v>9285113634</v>
      </c>
      <c r="L13" s="3" t="s">
        <v>32</v>
      </c>
    </row>
    <row r="14" spans="2:12" ht="14.25" customHeight="1" x14ac:dyDescent="0.35">
      <c r="B14" s="3" t="s">
        <v>110</v>
      </c>
      <c r="C14" s="3">
        <v>110</v>
      </c>
      <c r="D14" s="3" t="s">
        <v>17</v>
      </c>
      <c r="E14" s="4">
        <v>36109</v>
      </c>
      <c r="F14" s="3" t="s">
        <v>46</v>
      </c>
      <c r="G14" s="5">
        <v>44556</v>
      </c>
      <c r="H14" s="5">
        <v>44992</v>
      </c>
      <c r="I14" s="3">
        <v>35000</v>
      </c>
      <c r="J14" s="3">
        <v>8</v>
      </c>
      <c r="K14" s="3">
        <v>9511890959</v>
      </c>
      <c r="L14" s="3" t="s">
        <v>112</v>
      </c>
    </row>
    <row r="15" spans="2:12" ht="14.25" customHeight="1" x14ac:dyDescent="0.35">
      <c r="B15" s="3" t="s">
        <v>114</v>
      </c>
      <c r="C15" s="3">
        <v>111</v>
      </c>
      <c r="D15" s="3" t="s">
        <v>27</v>
      </c>
      <c r="E15" s="4">
        <v>34701</v>
      </c>
      <c r="F15" s="3" t="s">
        <v>18</v>
      </c>
      <c r="G15" s="5">
        <v>44372</v>
      </c>
      <c r="H15" s="5">
        <v>44835</v>
      </c>
      <c r="I15" s="3">
        <v>18000</v>
      </c>
      <c r="J15" s="3">
        <v>2</v>
      </c>
      <c r="K15" s="3">
        <v>9178537741</v>
      </c>
      <c r="L15" s="3" t="s">
        <v>23</v>
      </c>
    </row>
    <row r="16" spans="2:12" ht="14.25" customHeight="1" x14ac:dyDescent="0.35">
      <c r="B16" s="3" t="s">
        <v>118</v>
      </c>
      <c r="C16" s="3">
        <v>112</v>
      </c>
      <c r="D16" s="3" t="s">
        <v>17</v>
      </c>
      <c r="E16" s="4">
        <v>35642</v>
      </c>
      <c r="F16" s="3" t="s">
        <v>46</v>
      </c>
      <c r="G16" s="5">
        <v>44308</v>
      </c>
      <c r="H16" s="5">
        <v>44677</v>
      </c>
      <c r="I16" s="3">
        <v>10000</v>
      </c>
      <c r="J16" s="3">
        <v>7</v>
      </c>
      <c r="K16" s="3">
        <v>9563258827</v>
      </c>
      <c r="L16" s="3" t="s">
        <v>112</v>
      </c>
    </row>
    <row r="17" spans="2:12" ht="14.25" customHeight="1" x14ac:dyDescent="0.35">
      <c r="B17" s="3" t="s">
        <v>123</v>
      </c>
      <c r="C17" s="3">
        <v>113</v>
      </c>
      <c r="D17" s="3" t="s">
        <v>17</v>
      </c>
      <c r="E17" s="4">
        <v>35710</v>
      </c>
      <c r="F17" s="3" t="s">
        <v>37</v>
      </c>
      <c r="G17" s="5">
        <v>44382</v>
      </c>
      <c r="H17" s="5">
        <v>44681</v>
      </c>
      <c r="I17" s="3">
        <v>20000</v>
      </c>
      <c r="J17" s="3">
        <v>1</v>
      </c>
      <c r="K17" s="3">
        <v>9903668284</v>
      </c>
      <c r="L17" s="3" t="s">
        <v>112</v>
      </c>
    </row>
    <row r="18" spans="2:12" ht="14.25" customHeight="1" x14ac:dyDescent="0.35">
      <c r="B18" s="3" t="s">
        <v>127</v>
      </c>
      <c r="C18" s="3">
        <v>114</v>
      </c>
      <c r="D18" s="3" t="s">
        <v>27</v>
      </c>
      <c r="E18" s="4">
        <v>37121</v>
      </c>
      <c r="F18" s="3" t="s">
        <v>46</v>
      </c>
      <c r="G18" s="5">
        <v>44395</v>
      </c>
      <c r="H18" s="5">
        <v>45049</v>
      </c>
      <c r="I18" s="3">
        <v>35000</v>
      </c>
      <c r="J18" s="3">
        <v>8</v>
      </c>
      <c r="K18" s="3">
        <v>9412491495</v>
      </c>
      <c r="L18" s="3" t="s">
        <v>55</v>
      </c>
    </row>
    <row r="19" spans="2:12" ht="14.25" customHeight="1" x14ac:dyDescent="0.35">
      <c r="B19" s="3" t="s">
        <v>130</v>
      </c>
      <c r="C19" s="3">
        <v>115</v>
      </c>
      <c r="D19" s="3" t="s">
        <v>27</v>
      </c>
      <c r="E19" s="4">
        <v>35440</v>
      </c>
      <c r="F19" s="3" t="s">
        <v>18</v>
      </c>
      <c r="G19" s="5">
        <v>44617</v>
      </c>
      <c r="H19" s="5">
        <v>45195</v>
      </c>
      <c r="I19" s="3">
        <v>42000</v>
      </c>
      <c r="J19" s="3">
        <v>10</v>
      </c>
      <c r="K19" s="3">
        <v>9580977285</v>
      </c>
      <c r="L19" s="3" t="s">
        <v>101</v>
      </c>
    </row>
    <row r="20" spans="2:12" ht="14.25" customHeight="1" x14ac:dyDescent="0.35">
      <c r="B20" s="3" t="s">
        <v>132</v>
      </c>
      <c r="C20" s="3">
        <v>116</v>
      </c>
      <c r="D20" s="3" t="s">
        <v>17</v>
      </c>
      <c r="E20" s="4">
        <v>35105</v>
      </c>
      <c r="F20" s="3" t="s">
        <v>37</v>
      </c>
      <c r="G20" s="5">
        <v>44300</v>
      </c>
      <c r="H20" s="5">
        <v>44785</v>
      </c>
      <c r="I20" s="3">
        <v>20000</v>
      </c>
      <c r="J20" s="3">
        <v>2</v>
      </c>
      <c r="K20" s="3">
        <v>9543199239</v>
      </c>
      <c r="L20" s="3" t="s">
        <v>55</v>
      </c>
    </row>
    <row r="21" spans="2:12" ht="14.25" customHeight="1" x14ac:dyDescent="0.35">
      <c r="B21" s="3" t="s">
        <v>134</v>
      </c>
      <c r="C21" s="3">
        <v>117</v>
      </c>
      <c r="D21" s="3" t="s">
        <v>17</v>
      </c>
      <c r="E21" s="4">
        <v>35649</v>
      </c>
      <c r="F21" s="3" t="s">
        <v>46</v>
      </c>
      <c r="G21" s="5">
        <v>44565</v>
      </c>
      <c r="H21" s="5">
        <v>44725</v>
      </c>
      <c r="I21" s="3">
        <v>10000</v>
      </c>
      <c r="J21" s="3">
        <v>7</v>
      </c>
      <c r="K21" s="3">
        <v>9712763149</v>
      </c>
      <c r="L21" s="3" t="s">
        <v>112</v>
      </c>
    </row>
    <row r="22" spans="2:12" ht="14.25" customHeight="1" x14ac:dyDescent="0.35">
      <c r="B22" s="3" t="s">
        <v>135</v>
      </c>
      <c r="C22" s="3">
        <v>118</v>
      </c>
      <c r="D22" s="3" t="s">
        <v>17</v>
      </c>
      <c r="E22" s="4">
        <v>35946</v>
      </c>
      <c r="F22" s="3" t="s">
        <v>18</v>
      </c>
      <c r="G22" s="5">
        <v>44494</v>
      </c>
      <c r="H22" s="5">
        <v>45097</v>
      </c>
      <c r="I22" s="3">
        <v>10000</v>
      </c>
      <c r="J22" s="3">
        <v>5</v>
      </c>
      <c r="K22" s="3">
        <v>9750297284</v>
      </c>
      <c r="L22" s="3" t="s">
        <v>32</v>
      </c>
    </row>
    <row r="23" spans="2:12" ht="14.25" customHeight="1" x14ac:dyDescent="0.35">
      <c r="B23" s="3" t="s">
        <v>137</v>
      </c>
      <c r="C23" s="3">
        <v>119</v>
      </c>
      <c r="D23" s="3" t="s">
        <v>27</v>
      </c>
      <c r="E23" s="4">
        <v>35239</v>
      </c>
      <c r="F23" s="3" t="s">
        <v>29</v>
      </c>
      <c r="G23" s="5">
        <v>44332</v>
      </c>
      <c r="H23" s="5">
        <v>44673</v>
      </c>
      <c r="I23" s="3">
        <v>35000</v>
      </c>
      <c r="J23" s="3">
        <v>9</v>
      </c>
      <c r="K23" s="3">
        <v>9356037554</v>
      </c>
      <c r="L23" s="3" t="s">
        <v>112</v>
      </c>
    </row>
    <row r="24" spans="2:12" ht="14.25" customHeight="1" x14ac:dyDescent="0.35">
      <c r="B24" s="3" t="s">
        <v>139</v>
      </c>
      <c r="C24" s="3">
        <v>120</v>
      </c>
      <c r="D24" s="3" t="s">
        <v>27</v>
      </c>
      <c r="E24" s="4">
        <v>33573</v>
      </c>
      <c r="F24" s="3" t="s">
        <v>18</v>
      </c>
      <c r="G24" s="5">
        <v>44604</v>
      </c>
      <c r="H24" s="5">
        <v>45195</v>
      </c>
      <c r="I24" s="3">
        <v>20000</v>
      </c>
      <c r="J24" s="3">
        <v>3</v>
      </c>
      <c r="K24" s="3">
        <v>9816090272</v>
      </c>
      <c r="L24" s="3" t="s">
        <v>101</v>
      </c>
    </row>
    <row r="25" spans="2:12" ht="14.25" customHeight="1" x14ac:dyDescent="0.35">
      <c r="B25" s="3" t="s">
        <v>140</v>
      </c>
      <c r="C25" s="3">
        <v>121</v>
      </c>
      <c r="D25" s="3" t="s">
        <v>27</v>
      </c>
      <c r="E25" s="4">
        <v>36573</v>
      </c>
      <c r="F25" s="3" t="s">
        <v>18</v>
      </c>
      <c r="G25" s="5">
        <v>44438</v>
      </c>
      <c r="H25" s="5">
        <v>44857</v>
      </c>
      <c r="I25" s="3">
        <v>20000</v>
      </c>
      <c r="J25" s="3">
        <v>6</v>
      </c>
      <c r="K25" s="3">
        <v>9372396296</v>
      </c>
      <c r="L25" s="3" t="s">
        <v>55</v>
      </c>
    </row>
    <row r="26" spans="2:12" ht="14.25" customHeight="1" x14ac:dyDescent="0.35">
      <c r="B26" s="3" t="s">
        <v>143</v>
      </c>
      <c r="C26" s="3">
        <v>112</v>
      </c>
      <c r="D26" s="3" t="s">
        <v>17</v>
      </c>
      <c r="E26" s="4">
        <v>37047</v>
      </c>
      <c r="F26" s="3" t="s">
        <v>46</v>
      </c>
      <c r="G26" s="5">
        <v>44431</v>
      </c>
      <c r="H26" s="5">
        <v>45038</v>
      </c>
      <c r="I26" s="3">
        <v>18000</v>
      </c>
      <c r="J26" s="3">
        <v>1</v>
      </c>
      <c r="K26" s="3">
        <v>9756436801</v>
      </c>
      <c r="L26" s="3" t="s">
        <v>23</v>
      </c>
    </row>
    <row r="27" spans="2:12" ht="14.25" customHeight="1" x14ac:dyDescent="0.35">
      <c r="B27" s="3" t="s">
        <v>145</v>
      </c>
      <c r="C27" s="3">
        <v>113</v>
      </c>
      <c r="D27" s="3" t="s">
        <v>17</v>
      </c>
      <c r="E27" s="4">
        <v>37089</v>
      </c>
      <c r="F27" s="3" t="s">
        <v>37</v>
      </c>
      <c r="G27" s="5">
        <v>44553</v>
      </c>
      <c r="H27" s="5">
        <v>44950</v>
      </c>
      <c r="I27" s="3">
        <v>35000</v>
      </c>
      <c r="J27" s="3">
        <v>6</v>
      </c>
      <c r="K27" s="3">
        <v>9260569132</v>
      </c>
      <c r="L27" s="3" t="s">
        <v>32</v>
      </c>
    </row>
    <row r="28" spans="2:12" ht="14.25" customHeight="1" x14ac:dyDescent="0.35">
      <c r="B28" s="3" t="s">
        <v>146</v>
      </c>
      <c r="C28" s="3">
        <v>114</v>
      </c>
      <c r="D28" s="3" t="s">
        <v>27</v>
      </c>
      <c r="E28" s="4">
        <v>33699</v>
      </c>
      <c r="F28" s="3" t="s">
        <v>29</v>
      </c>
      <c r="G28" s="5">
        <v>44577</v>
      </c>
      <c r="H28" s="5">
        <v>45149</v>
      </c>
      <c r="I28" s="3">
        <v>20000</v>
      </c>
      <c r="J28" s="3">
        <v>3</v>
      </c>
      <c r="K28" s="3">
        <v>9521494464</v>
      </c>
      <c r="L28" s="3" t="s">
        <v>23</v>
      </c>
    </row>
    <row r="29" spans="2:12" ht="14.25" customHeight="1" x14ac:dyDescent="0.35">
      <c r="B29" s="3" t="s">
        <v>148</v>
      </c>
      <c r="C29" s="3">
        <v>115</v>
      </c>
      <c r="D29" s="3" t="s">
        <v>27</v>
      </c>
      <c r="E29" s="4">
        <v>35431</v>
      </c>
      <c r="F29" s="3" t="s">
        <v>37</v>
      </c>
      <c r="G29" s="5">
        <v>44507</v>
      </c>
      <c r="H29" s="5">
        <v>44885</v>
      </c>
      <c r="I29" s="3">
        <v>18000</v>
      </c>
      <c r="J29" s="3">
        <v>7</v>
      </c>
      <c r="K29" s="3">
        <v>9592356344</v>
      </c>
      <c r="L29" s="3" t="s">
        <v>23</v>
      </c>
    </row>
    <row r="30" spans="2:12" ht="14.25" customHeight="1" x14ac:dyDescent="0.35">
      <c r="B30" s="3" t="s">
        <v>149</v>
      </c>
      <c r="C30" s="3">
        <v>116</v>
      </c>
      <c r="D30" s="3" t="s">
        <v>27</v>
      </c>
      <c r="E30" s="4">
        <v>37062</v>
      </c>
      <c r="F30" s="3" t="s">
        <v>37</v>
      </c>
      <c r="G30" s="5">
        <v>44456</v>
      </c>
      <c r="H30" s="5">
        <v>44872</v>
      </c>
      <c r="I30" s="3">
        <v>20000</v>
      </c>
      <c r="J30" s="3">
        <v>10</v>
      </c>
      <c r="K30" s="3">
        <v>9420689442</v>
      </c>
      <c r="L30" s="3" t="s">
        <v>32</v>
      </c>
    </row>
    <row r="31" spans="2:12" ht="14.25" customHeight="1" x14ac:dyDescent="0.35">
      <c r="B31" s="3" t="s">
        <v>150</v>
      </c>
      <c r="C31" s="3">
        <v>117</v>
      </c>
      <c r="D31" s="3" t="s">
        <v>27</v>
      </c>
      <c r="E31" s="4">
        <v>33962</v>
      </c>
      <c r="F31" s="3" t="s">
        <v>46</v>
      </c>
      <c r="G31" s="5">
        <v>44417</v>
      </c>
      <c r="H31" s="5">
        <v>44946</v>
      </c>
      <c r="I31" s="3">
        <v>20000</v>
      </c>
      <c r="J31" s="3">
        <v>10</v>
      </c>
      <c r="K31" s="3">
        <v>9323047053</v>
      </c>
      <c r="L31" s="3" t="s">
        <v>55</v>
      </c>
    </row>
    <row r="32" spans="2:12" ht="14.25" customHeight="1" x14ac:dyDescent="0.35">
      <c r="B32" s="3" t="s">
        <v>151</v>
      </c>
      <c r="C32" s="3">
        <v>118</v>
      </c>
      <c r="D32" s="3" t="s">
        <v>17</v>
      </c>
      <c r="E32" s="4">
        <v>36619</v>
      </c>
      <c r="F32" s="3" t="s">
        <v>46</v>
      </c>
      <c r="G32" s="5">
        <v>44395</v>
      </c>
      <c r="H32" s="5">
        <v>44512</v>
      </c>
      <c r="I32" s="3">
        <v>35000</v>
      </c>
      <c r="J32" s="3">
        <v>7</v>
      </c>
      <c r="K32" s="3">
        <v>9175236256</v>
      </c>
      <c r="L32" s="3" t="s">
        <v>101</v>
      </c>
    </row>
    <row r="33" spans="2:12" ht="14.25" customHeight="1" x14ac:dyDescent="0.35">
      <c r="B33" s="3" t="s">
        <v>153</v>
      </c>
      <c r="C33" s="3">
        <v>119</v>
      </c>
      <c r="D33" s="3" t="s">
        <v>17</v>
      </c>
      <c r="E33" s="4">
        <v>35339</v>
      </c>
      <c r="F33" s="3" t="s">
        <v>46</v>
      </c>
      <c r="G33" s="5">
        <v>44517</v>
      </c>
      <c r="H33" s="5">
        <v>44926</v>
      </c>
      <c r="I33" s="3">
        <v>35000</v>
      </c>
      <c r="J33" s="3">
        <v>6</v>
      </c>
      <c r="K33" s="3">
        <v>9650155772</v>
      </c>
      <c r="L33" s="3" t="s">
        <v>32</v>
      </c>
    </row>
    <row r="34" spans="2:12" ht="14.25" customHeight="1" x14ac:dyDescent="0.35">
      <c r="B34" s="3" t="s">
        <v>154</v>
      </c>
      <c r="C34" s="3">
        <v>110</v>
      </c>
      <c r="D34" s="3" t="s">
        <v>17</v>
      </c>
      <c r="E34" s="4">
        <v>34578</v>
      </c>
      <c r="F34" s="3" t="s">
        <v>18</v>
      </c>
      <c r="G34" s="5">
        <v>44357</v>
      </c>
      <c r="H34" s="5">
        <v>44560</v>
      </c>
      <c r="I34" s="3">
        <v>10000</v>
      </c>
      <c r="J34" s="3">
        <v>7</v>
      </c>
      <c r="K34" s="3">
        <v>9108489803</v>
      </c>
      <c r="L34" s="3" t="s">
        <v>112</v>
      </c>
    </row>
    <row r="35" spans="2:12" ht="14.25" customHeight="1" x14ac:dyDescent="0.35">
      <c r="B35" s="3" t="s">
        <v>156</v>
      </c>
      <c r="C35" s="3">
        <v>111</v>
      </c>
      <c r="D35" s="3" t="s">
        <v>17</v>
      </c>
      <c r="E35" s="4">
        <v>34635</v>
      </c>
      <c r="F35" s="3" t="s">
        <v>46</v>
      </c>
      <c r="G35" s="5">
        <v>44409</v>
      </c>
      <c r="H35" s="5">
        <v>45060</v>
      </c>
      <c r="I35" s="3">
        <v>18000</v>
      </c>
      <c r="J35" s="3">
        <v>5</v>
      </c>
      <c r="K35" s="3">
        <v>9175153983</v>
      </c>
      <c r="L35" s="3" t="s">
        <v>23</v>
      </c>
    </row>
    <row r="36" spans="2:12" ht="14.25" customHeight="1" x14ac:dyDescent="0.35">
      <c r="B36" s="3" t="s">
        <v>157</v>
      </c>
      <c r="C36" s="3">
        <v>112</v>
      </c>
      <c r="D36" s="3" t="s">
        <v>27</v>
      </c>
      <c r="E36" s="4">
        <v>37176</v>
      </c>
      <c r="F36" s="3" t="s">
        <v>37</v>
      </c>
      <c r="G36" s="5">
        <v>44325</v>
      </c>
      <c r="H36" s="5">
        <v>44976</v>
      </c>
      <c r="I36" s="3">
        <v>10000</v>
      </c>
      <c r="J36" s="3">
        <v>3</v>
      </c>
      <c r="K36" s="3">
        <v>9256089954</v>
      </c>
      <c r="L36" s="3" t="s">
        <v>112</v>
      </c>
    </row>
    <row r="37" spans="2:12" ht="14.25" customHeight="1" x14ac:dyDescent="0.35">
      <c r="B37" s="3" t="s">
        <v>158</v>
      </c>
      <c r="C37" s="3">
        <v>113</v>
      </c>
      <c r="D37" s="3" t="s">
        <v>17</v>
      </c>
      <c r="E37" s="4">
        <v>36068</v>
      </c>
      <c r="F37" s="3" t="s">
        <v>37</v>
      </c>
      <c r="G37" s="5">
        <v>44408</v>
      </c>
      <c r="H37" s="5">
        <v>44988</v>
      </c>
      <c r="I37" s="3">
        <v>35000</v>
      </c>
      <c r="J37" s="3">
        <v>4</v>
      </c>
      <c r="K37" s="3">
        <v>9471908056</v>
      </c>
      <c r="L37" s="3" t="s">
        <v>112</v>
      </c>
    </row>
    <row r="38" spans="2:12" ht="14.25" customHeight="1" x14ac:dyDescent="0.35">
      <c r="B38" s="3" t="s">
        <v>159</v>
      </c>
      <c r="C38" s="3">
        <v>114</v>
      </c>
      <c r="D38" s="3" t="s">
        <v>17</v>
      </c>
      <c r="E38" s="4">
        <v>34912</v>
      </c>
      <c r="F38" s="3" t="s">
        <v>29</v>
      </c>
      <c r="G38" s="5">
        <v>44512</v>
      </c>
      <c r="H38" s="5">
        <v>44625</v>
      </c>
      <c r="I38" s="3">
        <v>35000</v>
      </c>
      <c r="J38" s="3">
        <v>7</v>
      </c>
      <c r="K38" s="3">
        <v>9361742681</v>
      </c>
      <c r="L38" s="3" t="s">
        <v>55</v>
      </c>
    </row>
    <row r="39" spans="2:12" ht="14.25" customHeight="1" x14ac:dyDescent="0.35">
      <c r="B39" s="3" t="s">
        <v>162</v>
      </c>
      <c r="C39" s="3">
        <v>115</v>
      </c>
      <c r="D39" s="3" t="s">
        <v>17</v>
      </c>
      <c r="E39" s="4">
        <v>36437</v>
      </c>
      <c r="F39" s="3" t="s">
        <v>46</v>
      </c>
      <c r="G39" s="5">
        <v>44593</v>
      </c>
      <c r="H39" s="5">
        <v>45316</v>
      </c>
      <c r="I39" s="3">
        <v>20000</v>
      </c>
      <c r="J39" s="3">
        <v>6</v>
      </c>
      <c r="K39" s="3">
        <v>9550307866</v>
      </c>
      <c r="L39" s="3" t="s">
        <v>101</v>
      </c>
    </row>
    <row r="40" spans="2:12" ht="14.25" customHeight="1" x14ac:dyDescent="0.35">
      <c r="B40" s="3" t="s">
        <v>164</v>
      </c>
      <c r="C40" s="3">
        <v>116</v>
      </c>
      <c r="D40" s="3" t="s">
        <v>27</v>
      </c>
      <c r="E40" s="4">
        <v>33535</v>
      </c>
      <c r="F40" s="3" t="s">
        <v>18</v>
      </c>
      <c r="G40" s="5">
        <v>44467</v>
      </c>
      <c r="H40" s="5">
        <v>44659</v>
      </c>
      <c r="I40" s="3">
        <v>10000</v>
      </c>
      <c r="J40" s="3">
        <v>7</v>
      </c>
      <c r="K40" s="3">
        <v>9456201256</v>
      </c>
      <c r="L40" s="3" t="s">
        <v>55</v>
      </c>
    </row>
    <row r="41" spans="2:12" ht="14.25" customHeight="1" x14ac:dyDescent="0.35">
      <c r="B41" s="3" t="s">
        <v>166</v>
      </c>
      <c r="C41" s="3">
        <v>117</v>
      </c>
      <c r="D41" s="3" t="s">
        <v>27</v>
      </c>
      <c r="E41" s="4">
        <v>35077</v>
      </c>
      <c r="F41" s="3" t="s">
        <v>37</v>
      </c>
      <c r="G41" s="5">
        <v>44315</v>
      </c>
      <c r="H41" s="5">
        <v>44668</v>
      </c>
      <c r="I41" s="3">
        <v>10000</v>
      </c>
      <c r="J41" s="3">
        <v>2</v>
      </c>
      <c r="K41" s="3">
        <v>9234670550</v>
      </c>
      <c r="L41" s="3" t="s">
        <v>112</v>
      </c>
    </row>
    <row r="42" spans="2:12" ht="14.25" customHeight="1" x14ac:dyDescent="0.35">
      <c r="B42" s="3" t="s">
        <v>167</v>
      </c>
      <c r="C42" s="3">
        <v>118</v>
      </c>
      <c r="D42" s="3" t="s">
        <v>17</v>
      </c>
      <c r="E42" s="4">
        <v>33690</v>
      </c>
      <c r="F42" s="3" t="s">
        <v>29</v>
      </c>
      <c r="G42" s="5">
        <v>44605</v>
      </c>
      <c r="H42" s="5">
        <v>45179</v>
      </c>
      <c r="I42" s="3">
        <v>35000</v>
      </c>
      <c r="J42" s="3">
        <v>9</v>
      </c>
      <c r="K42" s="3">
        <v>9623465455</v>
      </c>
      <c r="L42" s="3" t="s">
        <v>32</v>
      </c>
    </row>
    <row r="43" spans="2:12" ht="14.25" customHeight="1" x14ac:dyDescent="0.35">
      <c r="B43" s="3" t="s">
        <v>168</v>
      </c>
      <c r="C43" s="3">
        <v>119</v>
      </c>
      <c r="D43" s="3" t="s">
        <v>17</v>
      </c>
      <c r="E43" s="4">
        <v>33880</v>
      </c>
      <c r="F43" s="3" t="s">
        <v>29</v>
      </c>
      <c r="G43" s="5">
        <v>44444</v>
      </c>
      <c r="H43" s="5">
        <v>44931</v>
      </c>
      <c r="I43" s="3">
        <v>10000</v>
      </c>
      <c r="J43" s="3">
        <v>8</v>
      </c>
      <c r="K43" s="3">
        <v>9257334815</v>
      </c>
      <c r="L43" s="3" t="s">
        <v>112</v>
      </c>
    </row>
    <row r="44" spans="2:12" ht="14.25" customHeight="1" x14ac:dyDescent="0.35">
      <c r="B44" s="3" t="s">
        <v>170</v>
      </c>
      <c r="C44" s="3">
        <v>120</v>
      </c>
      <c r="D44" s="3" t="s">
        <v>27</v>
      </c>
      <c r="E44" s="4">
        <v>33960</v>
      </c>
      <c r="F44" s="3" t="s">
        <v>46</v>
      </c>
      <c r="G44" s="5">
        <v>44456</v>
      </c>
      <c r="H44" s="5">
        <v>44940</v>
      </c>
      <c r="I44" s="3">
        <v>35000</v>
      </c>
      <c r="J44" s="3">
        <v>10</v>
      </c>
      <c r="K44" s="3">
        <v>9463131191</v>
      </c>
      <c r="L44" s="3" t="s">
        <v>101</v>
      </c>
    </row>
    <row r="45" spans="2:12" ht="14.25" customHeight="1" x14ac:dyDescent="0.35">
      <c r="B45" s="3" t="s">
        <v>171</v>
      </c>
      <c r="C45" s="3">
        <v>121</v>
      </c>
      <c r="D45" s="3" t="s">
        <v>17</v>
      </c>
      <c r="E45" s="4">
        <v>35680</v>
      </c>
      <c r="F45" s="3" t="s">
        <v>29</v>
      </c>
      <c r="G45" s="5">
        <v>44565</v>
      </c>
      <c r="H45" s="5">
        <v>45215</v>
      </c>
      <c r="I45" s="3">
        <v>18000</v>
      </c>
      <c r="J45" s="3">
        <v>3</v>
      </c>
      <c r="K45" s="3">
        <v>9659532373</v>
      </c>
      <c r="L45" s="3" t="s">
        <v>55</v>
      </c>
    </row>
    <row r="46" spans="2:12" ht="14.25" customHeight="1" x14ac:dyDescent="0.35"/>
    <row r="47" spans="2:12" ht="14.25" customHeight="1" x14ac:dyDescent="0.35"/>
    <row r="48" spans="2:1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C1:H1"/>
  </mergeCells>
  <conditionalFormatting sqref="I6:I45">
    <cfRule type="cellIs" dxfId="0" priority="1" operator="greaterThan">
      <formula>25000</formula>
    </cfRule>
  </conditionalFormatting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E1:M1000"/>
  <sheetViews>
    <sheetView topLeftCell="C1" workbookViewId="0">
      <selection activeCell="F7" sqref="F7"/>
    </sheetView>
  </sheetViews>
  <sheetFormatPr defaultColWidth="14.453125" defaultRowHeight="15" customHeight="1" x14ac:dyDescent="0.35"/>
  <cols>
    <col min="1" max="3" width="8.7265625" customWidth="1"/>
    <col min="4" max="4" width="4" customWidth="1"/>
    <col min="5" max="5" width="8.7265625" customWidth="1"/>
    <col min="6" max="6" width="22.1796875" bestFit="1" customWidth="1"/>
    <col min="7" max="7" width="15.26953125" bestFit="1" customWidth="1"/>
    <col min="8" max="8" width="5" bestFit="1" customWidth="1"/>
    <col min="9" max="9" width="10.7265625" bestFit="1" customWidth="1"/>
    <col min="10" max="26" width="8.7265625" customWidth="1"/>
  </cols>
  <sheetData>
    <row r="1" spans="5:13" ht="14.25" customHeight="1" x14ac:dyDescent="0.35">
      <c r="F1" s="119" t="s">
        <v>431</v>
      </c>
      <c r="G1" s="107"/>
      <c r="H1" s="107"/>
      <c r="I1" s="108"/>
      <c r="K1" s="120" t="s">
        <v>316</v>
      </c>
      <c r="L1" s="107"/>
      <c r="M1" s="108"/>
    </row>
    <row r="2" spans="5:13" ht="14.25" customHeight="1" x14ac:dyDescent="0.35">
      <c r="E2" s="84" t="s">
        <v>434</v>
      </c>
    </row>
    <row r="3" spans="5:13" ht="14.25" customHeight="1" x14ac:dyDescent="0.35">
      <c r="F3">
        <f>COUNTIF(Data!E4:E44,Data!$E$6)</f>
        <v>18</v>
      </c>
      <c r="G3" s="84" t="s">
        <v>432</v>
      </c>
    </row>
    <row r="4" spans="5:13" ht="14.25" customHeight="1" x14ac:dyDescent="0.35">
      <c r="F4">
        <f>COUNTIF(Data!G4:G44,"bng")</f>
        <v>11</v>
      </c>
      <c r="G4" s="84" t="s">
        <v>433</v>
      </c>
    </row>
    <row r="5" spans="5:13" ht="14.25" customHeight="1" x14ac:dyDescent="0.35"/>
    <row r="6" spans="5:13" ht="14.25" customHeight="1" x14ac:dyDescent="0.35"/>
    <row r="7" spans="5:13" ht="14.25" customHeight="1" x14ac:dyDescent="0.35"/>
    <row r="8" spans="5:13" ht="14.25" customHeight="1" x14ac:dyDescent="0.35"/>
    <row r="9" spans="5:13" ht="14.25" customHeight="1" x14ac:dyDescent="0.35"/>
    <row r="10" spans="5:13" ht="14.25" customHeight="1" x14ac:dyDescent="0.35"/>
    <row r="11" spans="5:13" ht="14.25" customHeight="1" x14ac:dyDescent="0.35"/>
    <row r="12" spans="5:13" ht="14.25" customHeight="1" x14ac:dyDescent="0.35"/>
    <row r="13" spans="5:13" ht="14.25" customHeight="1" x14ac:dyDescent="0.35"/>
    <row r="14" spans="5:13" ht="14.25" customHeight="1" x14ac:dyDescent="0.35"/>
    <row r="15" spans="5:13" ht="14.25" customHeight="1" x14ac:dyDescent="0.35"/>
    <row r="16" spans="5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F1:I1"/>
    <mergeCell ref="K1:M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4"/>
  <sheetViews>
    <sheetView workbookViewId="0">
      <selection activeCell="F19" sqref="F19"/>
    </sheetView>
  </sheetViews>
  <sheetFormatPr defaultColWidth="14.453125" defaultRowHeight="14.5" x14ac:dyDescent="0.35"/>
  <cols>
    <col min="1" max="1" width="8.7265625" customWidth="1"/>
    <col min="2" max="2" width="14.26953125" bestFit="1" customWidth="1"/>
    <col min="3" max="4" width="8.7265625" customWidth="1"/>
    <col min="5" max="5" width="9.7265625" bestFit="1" customWidth="1"/>
    <col min="6" max="6" width="13.08984375" bestFit="1" customWidth="1"/>
    <col min="7" max="7" width="11.90625" bestFit="1" customWidth="1"/>
    <col min="8" max="8" width="17.6328125" bestFit="1" customWidth="1"/>
    <col min="9" max="9" width="8.7265625" customWidth="1"/>
    <col min="10" max="10" width="14.7265625" bestFit="1" customWidth="1"/>
    <col min="11" max="11" width="23.36328125" bestFit="1" customWidth="1"/>
    <col min="12" max="12" width="9.7265625" bestFit="1" customWidth="1"/>
    <col min="13" max="26" width="8.7265625" customWidth="1"/>
  </cols>
  <sheetData>
    <row r="1" spans="1:12" x14ac:dyDescent="0.35">
      <c r="E1" s="119" t="s">
        <v>435</v>
      </c>
      <c r="F1" s="107"/>
      <c r="G1" s="107"/>
      <c r="H1" s="108"/>
      <c r="J1" s="120" t="s">
        <v>316</v>
      </c>
      <c r="K1" s="107"/>
      <c r="L1" s="108"/>
    </row>
    <row r="2" spans="1:12" x14ac:dyDescent="0.35">
      <c r="A2" s="2" t="s">
        <v>2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2" x14ac:dyDescent="0.35">
      <c r="A3" s="3">
        <v>1</v>
      </c>
      <c r="B3" s="3" t="s">
        <v>16</v>
      </c>
      <c r="C3" s="3">
        <v>112</v>
      </c>
      <c r="D3" s="3" t="s">
        <v>17</v>
      </c>
      <c r="E3" s="4">
        <v>37084</v>
      </c>
      <c r="F3" s="3" t="s">
        <v>18</v>
      </c>
      <c r="G3" s="5">
        <v>44571</v>
      </c>
      <c r="H3" s="5">
        <v>44958</v>
      </c>
      <c r="I3" s="3">
        <v>42000</v>
      </c>
      <c r="J3" s="3">
        <v>8</v>
      </c>
      <c r="K3" s="3">
        <v>9821934908</v>
      </c>
      <c r="L3" s="3" t="s">
        <v>23</v>
      </c>
    </row>
    <row r="4" spans="1:12" x14ac:dyDescent="0.35">
      <c r="A4" s="3">
        <v>3</v>
      </c>
      <c r="B4" s="3" t="s">
        <v>35</v>
      </c>
      <c r="C4" s="3">
        <v>114</v>
      </c>
      <c r="D4" s="3" t="s">
        <v>17</v>
      </c>
      <c r="E4" s="4">
        <v>33266</v>
      </c>
      <c r="F4" s="3" t="s">
        <v>430</v>
      </c>
      <c r="G4" s="5">
        <v>44407</v>
      </c>
      <c r="H4" s="5">
        <v>44558</v>
      </c>
      <c r="I4" s="3">
        <v>35000</v>
      </c>
      <c r="J4" s="3">
        <v>3</v>
      </c>
      <c r="K4" s="3">
        <v>9493205498</v>
      </c>
      <c r="L4" s="3" t="s">
        <v>23</v>
      </c>
    </row>
    <row r="5" spans="1:12" x14ac:dyDescent="0.35">
      <c r="A5" s="3">
        <v>6</v>
      </c>
      <c r="B5" s="3" t="s">
        <v>50</v>
      </c>
      <c r="C5" s="3">
        <v>117</v>
      </c>
      <c r="D5" s="3" t="s">
        <v>17</v>
      </c>
      <c r="E5" s="4">
        <v>36885</v>
      </c>
      <c r="F5" s="3" t="s">
        <v>430</v>
      </c>
      <c r="G5" s="5">
        <v>44577</v>
      </c>
      <c r="H5" s="5">
        <v>45304</v>
      </c>
      <c r="I5" s="3">
        <v>42000</v>
      </c>
      <c r="J5" s="3">
        <v>9</v>
      </c>
      <c r="K5" s="3">
        <v>9669292876</v>
      </c>
      <c r="L5" s="3" t="s">
        <v>55</v>
      </c>
    </row>
    <row r="6" spans="1:12" x14ac:dyDescent="0.35">
      <c r="A6" s="3">
        <v>7</v>
      </c>
      <c r="B6" s="3" t="s">
        <v>59</v>
      </c>
      <c r="C6" s="3">
        <v>118</v>
      </c>
      <c r="D6" s="3" t="s">
        <v>17</v>
      </c>
      <c r="E6" s="4">
        <v>34319</v>
      </c>
      <c r="F6" s="3" t="s">
        <v>46</v>
      </c>
      <c r="G6" s="5">
        <v>44424</v>
      </c>
      <c r="H6" s="5">
        <v>45054</v>
      </c>
      <c r="I6" s="3">
        <v>10000</v>
      </c>
      <c r="J6" s="3">
        <v>9</v>
      </c>
      <c r="K6" s="3">
        <v>9315204195</v>
      </c>
      <c r="L6" s="3" t="s">
        <v>101</v>
      </c>
    </row>
    <row r="7" spans="1:12" x14ac:dyDescent="0.35">
      <c r="A7" s="3">
        <v>9</v>
      </c>
      <c r="B7" s="3" t="s">
        <v>110</v>
      </c>
      <c r="C7" s="3">
        <v>110</v>
      </c>
      <c r="D7" s="3" t="s">
        <v>17</v>
      </c>
      <c r="E7" s="4">
        <v>36109</v>
      </c>
      <c r="F7" s="3" t="s">
        <v>46</v>
      </c>
      <c r="G7" s="5">
        <v>44556</v>
      </c>
      <c r="H7" s="5">
        <v>44992</v>
      </c>
      <c r="I7" s="3">
        <v>35000</v>
      </c>
      <c r="J7" s="3">
        <v>8</v>
      </c>
      <c r="K7" s="3">
        <v>9511890959</v>
      </c>
      <c r="L7" s="3" t="s">
        <v>112</v>
      </c>
    </row>
    <row r="8" spans="1:12" x14ac:dyDescent="0.35">
      <c r="A8" s="3">
        <v>11</v>
      </c>
      <c r="B8" s="3" t="s">
        <v>118</v>
      </c>
      <c r="C8" s="3">
        <v>112</v>
      </c>
      <c r="D8" s="3" t="s">
        <v>17</v>
      </c>
      <c r="E8" s="4">
        <v>35642</v>
      </c>
      <c r="F8" s="3" t="s">
        <v>46</v>
      </c>
      <c r="G8" s="5">
        <v>44308</v>
      </c>
      <c r="H8" s="5">
        <v>44677</v>
      </c>
      <c r="I8" s="3">
        <v>10000</v>
      </c>
      <c r="J8" s="3">
        <v>7</v>
      </c>
      <c r="K8" s="3">
        <v>9563258827</v>
      </c>
      <c r="L8" s="3" t="s">
        <v>112</v>
      </c>
    </row>
    <row r="9" spans="1:12" x14ac:dyDescent="0.35">
      <c r="A9" s="3">
        <v>12</v>
      </c>
      <c r="B9" s="3" t="s">
        <v>123</v>
      </c>
      <c r="C9" s="3">
        <v>113</v>
      </c>
      <c r="D9" s="3" t="s">
        <v>17</v>
      </c>
      <c r="E9" s="4">
        <v>35710</v>
      </c>
      <c r="F9" s="3" t="s">
        <v>430</v>
      </c>
      <c r="G9" s="5">
        <v>44382</v>
      </c>
      <c r="H9" s="5">
        <v>44681</v>
      </c>
      <c r="I9" s="3">
        <v>20000</v>
      </c>
      <c r="J9" s="3">
        <v>1</v>
      </c>
      <c r="K9" s="3">
        <v>9903668284</v>
      </c>
      <c r="L9" s="3" t="s">
        <v>112</v>
      </c>
    </row>
    <row r="10" spans="1:12" x14ac:dyDescent="0.35">
      <c r="A10" s="3">
        <v>15</v>
      </c>
      <c r="B10" s="3" t="s">
        <v>132</v>
      </c>
      <c r="C10" s="3">
        <v>116</v>
      </c>
      <c r="D10" s="3" t="s">
        <v>17</v>
      </c>
      <c r="E10" s="4">
        <v>35105</v>
      </c>
      <c r="F10" s="3" t="s">
        <v>430</v>
      </c>
      <c r="G10" s="5">
        <v>44300</v>
      </c>
      <c r="H10" s="5">
        <v>44785</v>
      </c>
      <c r="I10" s="3">
        <v>20000</v>
      </c>
      <c r="J10" s="3">
        <v>2</v>
      </c>
      <c r="K10" s="3">
        <v>9543199239</v>
      </c>
      <c r="L10" s="3" t="s">
        <v>55</v>
      </c>
    </row>
    <row r="11" spans="1:12" x14ac:dyDescent="0.35">
      <c r="A11" s="3">
        <v>16</v>
      </c>
      <c r="B11" s="3" t="s">
        <v>134</v>
      </c>
      <c r="C11" s="3">
        <v>117</v>
      </c>
      <c r="D11" s="3" t="s">
        <v>17</v>
      </c>
      <c r="E11" s="4">
        <v>35649</v>
      </c>
      <c r="F11" s="3" t="s">
        <v>46</v>
      </c>
      <c r="G11" s="5">
        <v>44565</v>
      </c>
      <c r="H11" s="5">
        <v>44725</v>
      </c>
      <c r="I11" s="3">
        <v>10000</v>
      </c>
      <c r="J11" s="3">
        <v>7</v>
      </c>
      <c r="K11" s="3">
        <v>9712763149</v>
      </c>
      <c r="L11" s="3" t="s">
        <v>112</v>
      </c>
    </row>
    <row r="12" spans="1:12" x14ac:dyDescent="0.35">
      <c r="A12" s="3">
        <v>17</v>
      </c>
      <c r="B12" s="3" t="s">
        <v>135</v>
      </c>
      <c r="C12" s="3">
        <v>118</v>
      </c>
      <c r="D12" s="3" t="s">
        <v>17</v>
      </c>
      <c r="E12" s="4">
        <v>35946</v>
      </c>
      <c r="F12" s="3" t="s">
        <v>18</v>
      </c>
      <c r="G12" s="5">
        <v>44494</v>
      </c>
      <c r="H12" s="5">
        <v>45097</v>
      </c>
      <c r="I12" s="3">
        <v>10000</v>
      </c>
      <c r="J12" s="3">
        <v>5</v>
      </c>
      <c r="K12" s="3">
        <v>9750297284</v>
      </c>
      <c r="L12" s="3" t="s">
        <v>32</v>
      </c>
    </row>
    <row r="13" spans="1:12" x14ac:dyDescent="0.35">
      <c r="A13" s="3">
        <v>21</v>
      </c>
      <c r="B13" s="3" t="s">
        <v>143</v>
      </c>
      <c r="C13" s="3">
        <v>112</v>
      </c>
      <c r="D13" s="3" t="s">
        <v>17</v>
      </c>
      <c r="E13" s="4">
        <v>37047</v>
      </c>
      <c r="F13" s="3" t="s">
        <v>46</v>
      </c>
      <c r="G13" s="5">
        <v>44431</v>
      </c>
      <c r="H13" s="5">
        <v>45038</v>
      </c>
      <c r="I13" s="3">
        <v>18000</v>
      </c>
      <c r="J13" s="3">
        <v>1</v>
      </c>
      <c r="K13" s="3">
        <v>9756436801</v>
      </c>
      <c r="L13" s="3" t="s">
        <v>23</v>
      </c>
    </row>
    <row r="14" spans="1:12" x14ac:dyDescent="0.35">
      <c r="A14" s="3">
        <v>22</v>
      </c>
      <c r="B14" s="3" t="s">
        <v>145</v>
      </c>
      <c r="C14" s="3">
        <v>113</v>
      </c>
      <c r="D14" s="3" t="s">
        <v>17</v>
      </c>
      <c r="E14" s="4">
        <v>37089</v>
      </c>
      <c r="F14" s="3" t="s">
        <v>430</v>
      </c>
      <c r="G14" s="5">
        <v>44553</v>
      </c>
      <c r="H14" s="5">
        <v>44950</v>
      </c>
      <c r="I14" s="3">
        <v>35000</v>
      </c>
      <c r="J14" s="3">
        <v>6</v>
      </c>
      <c r="K14" s="3">
        <v>9260569132</v>
      </c>
      <c r="L14" s="3" t="s">
        <v>32</v>
      </c>
    </row>
    <row r="15" spans="1:12" x14ac:dyDescent="0.35">
      <c r="A15" s="3">
        <v>27</v>
      </c>
      <c r="B15" s="3" t="s">
        <v>151</v>
      </c>
      <c r="C15" s="3">
        <v>118</v>
      </c>
      <c r="D15" s="3" t="s">
        <v>17</v>
      </c>
      <c r="E15" s="4">
        <v>36619</v>
      </c>
      <c r="F15" s="3" t="s">
        <v>46</v>
      </c>
      <c r="G15" s="5">
        <v>44395</v>
      </c>
      <c r="H15" s="5">
        <v>44512</v>
      </c>
      <c r="I15" s="3">
        <v>35000</v>
      </c>
      <c r="J15" s="3">
        <v>7</v>
      </c>
      <c r="K15" s="3">
        <v>9175236256</v>
      </c>
      <c r="L15" s="3" t="s">
        <v>101</v>
      </c>
    </row>
    <row r="16" spans="1:12" x14ac:dyDescent="0.35">
      <c r="A16" s="3">
        <v>28</v>
      </c>
      <c r="B16" s="3" t="s">
        <v>153</v>
      </c>
      <c r="C16" s="3">
        <v>119</v>
      </c>
      <c r="D16" s="3" t="s">
        <v>17</v>
      </c>
      <c r="E16" s="4">
        <v>35339</v>
      </c>
      <c r="F16" s="3" t="s">
        <v>46</v>
      </c>
      <c r="G16" s="5">
        <v>44517</v>
      </c>
      <c r="H16" s="5">
        <v>44926</v>
      </c>
      <c r="I16" s="3">
        <v>35000</v>
      </c>
      <c r="J16" s="3">
        <v>6</v>
      </c>
      <c r="K16" s="3">
        <v>9650155772</v>
      </c>
      <c r="L16" s="3" t="s">
        <v>32</v>
      </c>
    </row>
    <row r="17" spans="1:12" x14ac:dyDescent="0.35">
      <c r="A17" s="3">
        <v>29</v>
      </c>
      <c r="B17" s="3" t="s">
        <v>154</v>
      </c>
      <c r="C17" s="3">
        <v>110</v>
      </c>
      <c r="D17" s="3" t="s">
        <v>17</v>
      </c>
      <c r="E17" s="4">
        <v>34578</v>
      </c>
      <c r="F17" s="3" t="s">
        <v>18</v>
      </c>
      <c r="G17" s="5">
        <v>44357</v>
      </c>
      <c r="H17" s="5">
        <v>44560</v>
      </c>
      <c r="I17" s="3">
        <v>10000</v>
      </c>
      <c r="J17" s="3">
        <v>7</v>
      </c>
      <c r="K17" s="3">
        <v>9108489803</v>
      </c>
      <c r="L17" s="3" t="s">
        <v>112</v>
      </c>
    </row>
    <row r="18" spans="1:12" x14ac:dyDescent="0.35">
      <c r="A18" s="3">
        <v>30</v>
      </c>
      <c r="B18" s="3" t="s">
        <v>156</v>
      </c>
      <c r="C18" s="3">
        <v>111</v>
      </c>
      <c r="D18" s="3" t="s">
        <v>17</v>
      </c>
      <c r="E18" s="4">
        <v>34635</v>
      </c>
      <c r="F18" s="3" t="s">
        <v>46</v>
      </c>
      <c r="G18" s="5">
        <v>44409</v>
      </c>
      <c r="H18" s="5">
        <v>45060</v>
      </c>
      <c r="I18" s="3">
        <v>18000</v>
      </c>
      <c r="J18" s="3">
        <v>5</v>
      </c>
      <c r="K18" s="3">
        <v>9175153983</v>
      </c>
      <c r="L18" s="3" t="s">
        <v>23</v>
      </c>
    </row>
    <row r="19" spans="1:12" x14ac:dyDescent="0.35">
      <c r="A19" s="3">
        <v>32</v>
      </c>
      <c r="B19" s="3" t="s">
        <v>158</v>
      </c>
      <c r="C19" s="3">
        <v>113</v>
      </c>
      <c r="D19" s="3" t="s">
        <v>17</v>
      </c>
      <c r="E19" s="4">
        <v>36068</v>
      </c>
      <c r="F19" s="3" t="s">
        <v>430</v>
      </c>
      <c r="G19" s="5">
        <v>44408</v>
      </c>
      <c r="H19" s="5">
        <v>44988</v>
      </c>
      <c r="I19" s="3">
        <v>35000</v>
      </c>
      <c r="J19" s="3">
        <v>4</v>
      </c>
      <c r="K19" s="3">
        <v>9471908056</v>
      </c>
      <c r="L19" s="3" t="s">
        <v>112</v>
      </c>
    </row>
    <row r="20" spans="1:12" x14ac:dyDescent="0.35">
      <c r="A20" s="3">
        <v>33</v>
      </c>
      <c r="B20" s="3" t="s">
        <v>159</v>
      </c>
      <c r="C20" s="3">
        <v>114</v>
      </c>
      <c r="D20" s="3" t="s">
        <v>17</v>
      </c>
      <c r="E20" s="4">
        <v>34912</v>
      </c>
      <c r="F20" s="3" t="s">
        <v>29</v>
      </c>
      <c r="G20" s="5">
        <v>44512</v>
      </c>
      <c r="H20" s="5">
        <v>44625</v>
      </c>
      <c r="I20" s="3">
        <v>35000</v>
      </c>
      <c r="J20" s="3">
        <v>7</v>
      </c>
      <c r="K20" s="3">
        <v>9361742681</v>
      </c>
      <c r="L20" s="3" t="s">
        <v>55</v>
      </c>
    </row>
    <row r="21" spans="1:12" x14ac:dyDescent="0.35">
      <c r="A21" s="3">
        <v>34</v>
      </c>
      <c r="B21" s="3" t="s">
        <v>162</v>
      </c>
      <c r="C21" s="3">
        <v>115</v>
      </c>
      <c r="D21" s="3" t="s">
        <v>17</v>
      </c>
      <c r="E21" s="4">
        <v>36437</v>
      </c>
      <c r="F21" s="3" t="s">
        <v>46</v>
      </c>
      <c r="G21" s="5">
        <v>44593</v>
      </c>
      <c r="H21" s="5">
        <v>45316</v>
      </c>
      <c r="I21" s="3">
        <v>20000</v>
      </c>
      <c r="J21" s="3">
        <v>6</v>
      </c>
      <c r="K21" s="3">
        <v>9550307866</v>
      </c>
      <c r="L21" s="3" t="s">
        <v>101</v>
      </c>
    </row>
    <row r="22" spans="1:12" x14ac:dyDescent="0.35">
      <c r="A22" s="3">
        <v>37</v>
      </c>
      <c r="B22" s="3" t="s">
        <v>167</v>
      </c>
      <c r="C22" s="3">
        <v>118</v>
      </c>
      <c r="D22" s="3" t="s">
        <v>17</v>
      </c>
      <c r="E22" s="4">
        <v>33690</v>
      </c>
      <c r="F22" s="3" t="s">
        <v>29</v>
      </c>
      <c r="G22" s="5">
        <v>44605</v>
      </c>
      <c r="H22" s="5">
        <v>45179</v>
      </c>
      <c r="I22" s="3">
        <v>35000</v>
      </c>
      <c r="J22" s="3">
        <v>9</v>
      </c>
      <c r="K22" s="3">
        <v>9623465455</v>
      </c>
      <c r="L22" s="3" t="s">
        <v>32</v>
      </c>
    </row>
    <row r="23" spans="1:12" x14ac:dyDescent="0.35">
      <c r="A23" s="3">
        <v>38</v>
      </c>
      <c r="B23" s="3" t="s">
        <v>168</v>
      </c>
      <c r="C23" s="3">
        <v>119</v>
      </c>
      <c r="D23" s="3" t="s">
        <v>17</v>
      </c>
      <c r="E23" s="4">
        <v>33880</v>
      </c>
      <c r="F23" s="3" t="s">
        <v>29</v>
      </c>
      <c r="G23" s="5">
        <v>44444</v>
      </c>
      <c r="H23" s="5">
        <v>44931</v>
      </c>
      <c r="I23" s="3">
        <v>10000</v>
      </c>
      <c r="J23" s="3">
        <v>8</v>
      </c>
      <c r="K23" s="3">
        <v>9257334815</v>
      </c>
      <c r="L23" s="3" t="s">
        <v>112</v>
      </c>
    </row>
    <row r="24" spans="1:12" x14ac:dyDescent="0.35">
      <c r="A24" s="3">
        <v>40</v>
      </c>
      <c r="B24" s="3" t="s">
        <v>171</v>
      </c>
      <c r="C24" s="3">
        <v>121</v>
      </c>
      <c r="D24" s="3" t="s">
        <v>17</v>
      </c>
      <c r="E24" s="4">
        <v>35680</v>
      </c>
      <c r="F24" s="3" t="s">
        <v>29</v>
      </c>
      <c r="G24" s="5">
        <v>44565</v>
      </c>
      <c r="H24" s="5">
        <v>45215</v>
      </c>
      <c r="I24" s="3">
        <v>18000</v>
      </c>
      <c r="J24" s="3">
        <v>3</v>
      </c>
      <c r="K24" s="3">
        <v>9659532373</v>
      </c>
      <c r="L24" s="3" t="s">
        <v>55</v>
      </c>
    </row>
  </sheetData>
  <mergeCells count="2">
    <mergeCell ref="E1:H1"/>
    <mergeCell ref="J1:L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000"/>
  <sheetViews>
    <sheetView workbookViewId="0">
      <selection activeCell="B7" sqref="B7"/>
    </sheetView>
  </sheetViews>
  <sheetFormatPr defaultColWidth="14.453125" defaultRowHeight="15" customHeight="1" x14ac:dyDescent="0.35"/>
  <cols>
    <col min="1" max="1" width="8.7265625" customWidth="1"/>
    <col min="2" max="2" width="12.36328125" bestFit="1" customWidth="1"/>
    <col min="3" max="3" width="15.26953125" bestFit="1" customWidth="1"/>
    <col min="4" max="6" width="10.7265625" bestFit="1" customWidth="1"/>
    <col min="7" max="26" width="8.7265625" customWidth="1"/>
  </cols>
  <sheetData>
    <row r="1" spans="2:10" ht="14.25" customHeight="1" x14ac:dyDescent="0.35">
      <c r="B1" s="119" t="s">
        <v>317</v>
      </c>
      <c r="C1" s="107"/>
      <c r="D1" s="107"/>
      <c r="E1" s="107"/>
      <c r="F1" s="108"/>
      <c r="H1" s="120" t="s">
        <v>316</v>
      </c>
      <c r="I1" s="107"/>
      <c r="J1" s="108"/>
    </row>
    <row r="2" spans="2:10" ht="14.25" customHeight="1" x14ac:dyDescent="0.35"/>
    <row r="3" spans="2:10" ht="14.25" customHeight="1" x14ac:dyDescent="0.35"/>
    <row r="4" spans="2:10" ht="14.25" customHeight="1" x14ac:dyDescent="0.35"/>
    <row r="5" spans="2:10" ht="14.25" customHeight="1" x14ac:dyDescent="0.35"/>
    <row r="6" spans="2:10" ht="14.25" customHeight="1" x14ac:dyDescent="0.35"/>
    <row r="7" spans="2:10" ht="14.25" customHeight="1" x14ac:dyDescent="0.35">
      <c r="B7" s="86" t="s">
        <v>436</v>
      </c>
      <c r="C7" s="86" t="s">
        <v>411</v>
      </c>
    </row>
    <row r="8" spans="2:10" ht="14.25" customHeight="1" x14ac:dyDescent="0.35">
      <c r="B8" s="86" t="s">
        <v>408</v>
      </c>
      <c r="C8" t="s">
        <v>17</v>
      </c>
      <c r="D8" t="s">
        <v>409</v>
      </c>
    </row>
    <row r="9" spans="2:10" ht="14.25" customHeight="1" x14ac:dyDescent="0.35">
      <c r="B9" s="87" t="s">
        <v>430</v>
      </c>
      <c r="C9">
        <v>187000</v>
      </c>
      <c r="D9">
        <v>187000</v>
      </c>
    </row>
    <row r="10" spans="2:10" ht="14.25" customHeight="1" x14ac:dyDescent="0.35">
      <c r="B10" s="87" t="s">
        <v>409</v>
      </c>
      <c r="C10">
        <v>187000</v>
      </c>
      <c r="D10">
        <v>187000</v>
      </c>
    </row>
    <row r="11" spans="2:10" ht="14.25" customHeight="1" x14ac:dyDescent="0.35"/>
    <row r="12" spans="2:10" ht="14.25" customHeight="1" x14ac:dyDescent="0.35"/>
    <row r="13" spans="2:10" ht="14.25" customHeight="1" x14ac:dyDescent="0.35"/>
    <row r="14" spans="2:10" ht="14.25" customHeight="1" x14ac:dyDescent="0.35"/>
    <row r="15" spans="2:10" ht="14.25" customHeight="1" x14ac:dyDescent="0.35"/>
    <row r="16" spans="2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B1:F1"/>
    <mergeCell ref="H1:J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I1000"/>
  <sheetViews>
    <sheetView workbookViewId="0">
      <selection activeCell="B8" sqref="B8"/>
    </sheetView>
  </sheetViews>
  <sheetFormatPr defaultColWidth="14.453125" defaultRowHeight="15" customHeight="1" x14ac:dyDescent="0.35"/>
  <cols>
    <col min="1" max="1" width="8.7265625" customWidth="1"/>
    <col min="2" max="2" width="12.36328125" bestFit="1" customWidth="1"/>
    <col min="3" max="3" width="12.08984375" bestFit="1" customWidth="1"/>
    <col min="4" max="26" width="8.7265625" customWidth="1"/>
  </cols>
  <sheetData>
    <row r="1" spans="2:9" ht="14.25" customHeight="1" x14ac:dyDescent="0.35">
      <c r="B1" s="119" t="s">
        <v>318</v>
      </c>
      <c r="C1" s="107"/>
      <c r="D1" s="107"/>
      <c r="E1" s="107"/>
      <c r="F1" s="108"/>
      <c r="G1" s="120" t="s">
        <v>316</v>
      </c>
      <c r="H1" s="107"/>
      <c r="I1" s="108"/>
    </row>
    <row r="2" spans="2:9" ht="14.25" customHeight="1" x14ac:dyDescent="0.35"/>
    <row r="3" spans="2:9" ht="14.25" customHeight="1" x14ac:dyDescent="0.35"/>
    <row r="4" spans="2:9" ht="14.25" customHeight="1" x14ac:dyDescent="0.35"/>
    <row r="5" spans="2:9" ht="14.25" customHeight="1" x14ac:dyDescent="0.35"/>
    <row r="6" spans="2:9" ht="14.25" customHeight="1" x14ac:dyDescent="0.35"/>
    <row r="7" spans="2:9" ht="14.25" customHeight="1" x14ac:dyDescent="0.35"/>
    <row r="8" spans="2:9" ht="14.25" customHeight="1" x14ac:dyDescent="0.35">
      <c r="B8" s="86" t="s">
        <v>408</v>
      </c>
      <c r="C8" t="s">
        <v>436</v>
      </c>
    </row>
    <row r="9" spans="2:9" ht="14.25" customHeight="1" x14ac:dyDescent="0.35">
      <c r="B9" s="87" t="s">
        <v>27</v>
      </c>
      <c r="C9">
        <v>419000</v>
      </c>
    </row>
    <row r="10" spans="2:9" ht="14.25" customHeight="1" x14ac:dyDescent="0.35">
      <c r="B10" s="87" t="s">
        <v>409</v>
      </c>
      <c r="C10">
        <v>419000</v>
      </c>
    </row>
    <row r="11" spans="2:9" ht="14.25" customHeight="1" x14ac:dyDescent="0.35"/>
    <row r="12" spans="2:9" ht="14.25" customHeight="1" x14ac:dyDescent="0.35"/>
    <row r="13" spans="2:9" ht="14.25" customHeight="1" x14ac:dyDescent="0.35"/>
    <row r="14" spans="2:9" ht="14.25" customHeight="1" x14ac:dyDescent="0.35"/>
    <row r="15" spans="2:9" ht="14.25" customHeight="1" x14ac:dyDescent="0.35"/>
    <row r="16" spans="2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B1:F1"/>
    <mergeCell ref="G1:I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D1:N1000"/>
  <sheetViews>
    <sheetView workbookViewId="0">
      <selection activeCell="J16" sqref="J16"/>
    </sheetView>
  </sheetViews>
  <sheetFormatPr defaultColWidth="14.453125" defaultRowHeight="15" customHeight="1" x14ac:dyDescent="0.35"/>
  <cols>
    <col min="1" max="2" width="8.7265625" customWidth="1"/>
    <col min="3" max="3" width="8.26953125" customWidth="1"/>
    <col min="4" max="4" width="8.7265625" hidden="1" customWidth="1"/>
    <col min="5" max="5" width="16.453125" customWidth="1"/>
    <col min="6" max="6" width="7.453125" customWidth="1"/>
    <col min="7" max="7" width="7" customWidth="1"/>
    <col min="8" max="8" width="13" customWidth="1"/>
    <col min="9" max="9" width="24.7265625" customWidth="1"/>
    <col min="10" max="10" width="12" customWidth="1"/>
    <col min="11" max="26" width="8.7265625" customWidth="1"/>
  </cols>
  <sheetData>
    <row r="1" spans="5:14" ht="14.25" customHeight="1" x14ac:dyDescent="0.35">
      <c r="E1" s="121" t="s">
        <v>319</v>
      </c>
      <c r="F1" s="107"/>
      <c r="G1" s="107"/>
      <c r="H1" s="108"/>
      <c r="I1" s="65"/>
      <c r="J1" s="65"/>
    </row>
    <row r="2" spans="5:14" ht="14.25" customHeight="1" x14ac:dyDescent="0.35"/>
    <row r="3" spans="5:14" ht="14.25" customHeight="1" x14ac:dyDescent="0.35">
      <c r="E3" s="2" t="s">
        <v>5</v>
      </c>
      <c r="F3" s="2" t="s">
        <v>6</v>
      </c>
      <c r="G3" s="2" t="s">
        <v>7</v>
      </c>
      <c r="H3" s="2" t="s">
        <v>8</v>
      </c>
      <c r="I3" s="66" t="s">
        <v>42</v>
      </c>
      <c r="J3" s="67"/>
      <c r="K3" s="122" t="s">
        <v>320</v>
      </c>
      <c r="L3" s="107"/>
      <c r="M3" s="107"/>
      <c r="N3" s="108"/>
    </row>
    <row r="4" spans="5:14" ht="14.25" customHeight="1" x14ac:dyDescent="0.35">
      <c r="E4" s="3" t="s">
        <v>16</v>
      </c>
      <c r="F4" s="3">
        <v>112</v>
      </c>
      <c r="G4" s="3" t="s">
        <v>17</v>
      </c>
      <c r="H4" s="104">
        <v>37084</v>
      </c>
      <c r="I4" s="105" t="str">
        <f ca="1">DATEDIF(H4,TODAY(),"Y")&amp;" years "&amp;DATEDIF(H4,TODAY(),"YM")&amp;" months "&amp;DATEDIF(H4,TODAY(),"MD")&amp;" days "</f>
        <v xml:space="preserve">25 years 3 months 3 days </v>
      </c>
    </row>
    <row r="5" spans="5:14" ht="14.25" customHeight="1" x14ac:dyDescent="0.35">
      <c r="E5" s="3" t="s">
        <v>25</v>
      </c>
      <c r="F5" s="3">
        <v>113</v>
      </c>
      <c r="G5" s="3" t="s">
        <v>27</v>
      </c>
      <c r="H5" s="104">
        <v>35354</v>
      </c>
      <c r="I5" s="105" t="str">
        <f t="shared" ref="I5:I43" ca="1" si="0">DATEDIF(H5,TODAY(),"Y")&amp;" years "&amp;DATEDIF(H5,TODAY(),"YM")&amp;" months "&amp;DATEDIF(H5,TODAY(),"MD")&amp;" days "</f>
        <v xml:space="preserve">29 years 11 months 29 days </v>
      </c>
    </row>
    <row r="6" spans="5:14" ht="14.25" customHeight="1" x14ac:dyDescent="0.35">
      <c r="E6" s="3" t="s">
        <v>35</v>
      </c>
      <c r="F6" s="3">
        <v>114</v>
      </c>
      <c r="G6" s="3" t="s">
        <v>17</v>
      </c>
      <c r="H6" s="104">
        <v>33266</v>
      </c>
      <c r="I6" s="105" t="str">
        <f t="shared" ca="1" si="0"/>
        <v xml:space="preserve">35 years 8 months 17 days </v>
      </c>
    </row>
    <row r="7" spans="5:14" ht="14.25" customHeight="1" x14ac:dyDescent="0.35">
      <c r="E7" s="3" t="s">
        <v>39</v>
      </c>
      <c r="F7" s="3">
        <v>115</v>
      </c>
      <c r="G7" s="3" t="s">
        <v>27</v>
      </c>
      <c r="H7" s="104">
        <v>37111</v>
      </c>
      <c r="I7" s="105" t="str">
        <f t="shared" ca="1" si="0"/>
        <v xml:space="preserve">25 years 2 months 7 days </v>
      </c>
    </row>
    <row r="8" spans="5:14" ht="14.25" customHeight="1" x14ac:dyDescent="0.35">
      <c r="E8" s="3" t="s">
        <v>44</v>
      </c>
      <c r="F8" s="3">
        <v>116</v>
      </c>
      <c r="G8" s="3" t="s">
        <v>27</v>
      </c>
      <c r="H8" s="104">
        <v>35151</v>
      </c>
      <c r="I8" s="105" t="str">
        <f t="shared" ca="1" si="0"/>
        <v xml:space="preserve">30 years 6 months 18 days </v>
      </c>
    </row>
    <row r="9" spans="5:14" ht="14.25" customHeight="1" x14ac:dyDescent="0.35">
      <c r="E9" s="3" t="s">
        <v>50</v>
      </c>
      <c r="F9" s="3">
        <v>117</v>
      </c>
      <c r="G9" s="3" t="s">
        <v>17</v>
      </c>
      <c r="H9" s="104">
        <v>36885</v>
      </c>
      <c r="I9" s="105" t="str">
        <f t="shared" ca="1" si="0"/>
        <v xml:space="preserve">25 years 9 months 20 days </v>
      </c>
    </row>
    <row r="10" spans="5:14" ht="14.25" customHeight="1" x14ac:dyDescent="0.35">
      <c r="E10" s="3" t="s">
        <v>59</v>
      </c>
      <c r="F10" s="3">
        <v>118</v>
      </c>
      <c r="G10" s="3" t="s">
        <v>17</v>
      </c>
      <c r="H10" s="104">
        <v>34319</v>
      </c>
      <c r="I10" s="105" t="str">
        <f t="shared" ca="1" si="0"/>
        <v xml:space="preserve">32 years 9 months 29 days </v>
      </c>
    </row>
    <row r="11" spans="5:14" ht="14.25" customHeight="1" x14ac:dyDescent="0.35">
      <c r="E11" s="3" t="s">
        <v>104</v>
      </c>
      <c r="F11" s="3">
        <v>119</v>
      </c>
      <c r="G11" s="3" t="s">
        <v>27</v>
      </c>
      <c r="H11" s="104">
        <v>36250</v>
      </c>
      <c r="I11" s="105" t="str">
        <f t="shared" ca="1" si="0"/>
        <v xml:space="preserve">27 years 6 months 14 days </v>
      </c>
    </row>
    <row r="12" spans="5:14" ht="14.25" customHeight="1" x14ac:dyDescent="0.35">
      <c r="E12" s="3" t="s">
        <v>110</v>
      </c>
      <c r="F12" s="3">
        <v>110</v>
      </c>
      <c r="G12" s="3" t="s">
        <v>17</v>
      </c>
      <c r="H12" s="104">
        <v>36109</v>
      </c>
      <c r="I12" s="105" t="str">
        <f t="shared" ca="1" si="0"/>
        <v xml:space="preserve">27 years 11 months 5 days </v>
      </c>
    </row>
    <row r="13" spans="5:14" ht="14.25" customHeight="1" x14ac:dyDescent="0.35">
      <c r="E13" s="3" t="s">
        <v>114</v>
      </c>
      <c r="F13" s="3">
        <v>111</v>
      </c>
      <c r="G13" s="3" t="s">
        <v>27</v>
      </c>
      <c r="H13" s="104">
        <v>34701</v>
      </c>
      <c r="I13" s="105" t="str">
        <f t="shared" ca="1" si="0"/>
        <v xml:space="preserve">31 years 9 months 13 days </v>
      </c>
    </row>
    <row r="14" spans="5:14" ht="14.25" customHeight="1" x14ac:dyDescent="0.35">
      <c r="E14" s="3" t="s">
        <v>118</v>
      </c>
      <c r="F14" s="3">
        <v>112</v>
      </c>
      <c r="G14" s="3" t="s">
        <v>17</v>
      </c>
      <c r="H14" s="104">
        <v>35642</v>
      </c>
      <c r="I14" s="105" t="str">
        <f t="shared" ca="1" si="0"/>
        <v xml:space="preserve">29 years 2 months 14 days </v>
      </c>
    </row>
    <row r="15" spans="5:14" ht="14.25" customHeight="1" x14ac:dyDescent="0.35">
      <c r="E15" s="3" t="s">
        <v>123</v>
      </c>
      <c r="F15" s="3">
        <v>113</v>
      </c>
      <c r="G15" s="3" t="s">
        <v>17</v>
      </c>
      <c r="H15" s="104">
        <v>35710</v>
      </c>
      <c r="I15" s="105" t="str">
        <f t="shared" ca="1" si="0"/>
        <v xml:space="preserve">29 years 0 months 8 days </v>
      </c>
    </row>
    <row r="16" spans="5:14" ht="14.25" customHeight="1" x14ac:dyDescent="0.35">
      <c r="E16" s="3" t="s">
        <v>127</v>
      </c>
      <c r="F16" s="3">
        <v>114</v>
      </c>
      <c r="G16" s="3" t="s">
        <v>27</v>
      </c>
      <c r="H16" s="104">
        <v>37121</v>
      </c>
      <c r="I16" s="105" t="str">
        <f t="shared" ca="1" si="0"/>
        <v xml:space="preserve">25 years 1 months 27 days </v>
      </c>
    </row>
    <row r="17" spans="5:9" ht="14.25" customHeight="1" x14ac:dyDescent="0.35">
      <c r="E17" s="3" t="s">
        <v>130</v>
      </c>
      <c r="F17" s="3">
        <v>115</v>
      </c>
      <c r="G17" s="3" t="s">
        <v>27</v>
      </c>
      <c r="H17" s="104">
        <v>35440</v>
      </c>
      <c r="I17" s="105" t="str">
        <f t="shared" ca="1" si="0"/>
        <v xml:space="preserve">29 years 9 months 5 days </v>
      </c>
    </row>
    <row r="18" spans="5:9" ht="14.25" customHeight="1" x14ac:dyDescent="0.35">
      <c r="E18" s="3" t="s">
        <v>132</v>
      </c>
      <c r="F18" s="3">
        <v>116</v>
      </c>
      <c r="G18" s="3" t="s">
        <v>17</v>
      </c>
      <c r="H18" s="104">
        <v>35105</v>
      </c>
      <c r="I18" s="105" t="str">
        <f t="shared" ca="1" si="0"/>
        <v xml:space="preserve">30 years 8 months 5 days </v>
      </c>
    </row>
    <row r="19" spans="5:9" ht="14.25" customHeight="1" x14ac:dyDescent="0.35">
      <c r="E19" s="3" t="s">
        <v>134</v>
      </c>
      <c r="F19" s="3">
        <v>117</v>
      </c>
      <c r="G19" s="3" t="s">
        <v>17</v>
      </c>
      <c r="H19" s="104">
        <v>35649</v>
      </c>
      <c r="I19" s="105" t="str">
        <f t="shared" ca="1" si="0"/>
        <v xml:space="preserve">29 years 2 months 8 days </v>
      </c>
    </row>
    <row r="20" spans="5:9" ht="14.25" customHeight="1" x14ac:dyDescent="0.35">
      <c r="E20" s="3" t="s">
        <v>135</v>
      </c>
      <c r="F20" s="3">
        <v>118</v>
      </c>
      <c r="G20" s="3" t="s">
        <v>17</v>
      </c>
      <c r="H20" s="104">
        <v>35946</v>
      </c>
      <c r="I20" s="105" t="str">
        <f t="shared" ca="1" si="0"/>
        <v xml:space="preserve">28 years 4 months 14 days </v>
      </c>
    </row>
    <row r="21" spans="5:9" ht="14.25" customHeight="1" x14ac:dyDescent="0.35">
      <c r="E21" s="3" t="s">
        <v>137</v>
      </c>
      <c r="F21" s="3">
        <v>119</v>
      </c>
      <c r="G21" s="3" t="s">
        <v>27</v>
      </c>
      <c r="H21" s="104">
        <v>35239</v>
      </c>
      <c r="I21" s="105" t="str">
        <f t="shared" ca="1" si="0"/>
        <v xml:space="preserve">30 years 3 months 22 days </v>
      </c>
    </row>
    <row r="22" spans="5:9" ht="14.25" customHeight="1" x14ac:dyDescent="0.35">
      <c r="E22" s="3" t="s">
        <v>139</v>
      </c>
      <c r="F22" s="3">
        <v>120</v>
      </c>
      <c r="G22" s="3" t="s">
        <v>27</v>
      </c>
      <c r="H22" s="104">
        <v>33573</v>
      </c>
      <c r="I22" s="105" t="str">
        <f t="shared" ca="1" si="0"/>
        <v xml:space="preserve">34 years 10 months 14 days </v>
      </c>
    </row>
    <row r="23" spans="5:9" ht="14.25" customHeight="1" x14ac:dyDescent="0.35">
      <c r="E23" s="3" t="s">
        <v>140</v>
      </c>
      <c r="F23" s="3">
        <v>121</v>
      </c>
      <c r="G23" s="3" t="s">
        <v>27</v>
      </c>
      <c r="H23" s="104">
        <v>36573</v>
      </c>
      <c r="I23" s="105" t="str">
        <f t="shared" ca="1" si="0"/>
        <v xml:space="preserve">26 years 7 months 28 days </v>
      </c>
    </row>
    <row r="24" spans="5:9" ht="14.25" customHeight="1" x14ac:dyDescent="0.35">
      <c r="E24" s="3" t="s">
        <v>143</v>
      </c>
      <c r="F24" s="3">
        <v>112</v>
      </c>
      <c r="G24" s="3" t="s">
        <v>17</v>
      </c>
      <c r="H24" s="104">
        <v>37047</v>
      </c>
      <c r="I24" s="105" t="str">
        <f t="shared" ca="1" si="0"/>
        <v xml:space="preserve">25 years 4 months 10 days </v>
      </c>
    </row>
    <row r="25" spans="5:9" ht="14.25" customHeight="1" x14ac:dyDescent="0.35">
      <c r="E25" s="3" t="s">
        <v>145</v>
      </c>
      <c r="F25" s="3">
        <v>113</v>
      </c>
      <c r="G25" s="3" t="s">
        <v>17</v>
      </c>
      <c r="H25" s="104">
        <v>37089</v>
      </c>
      <c r="I25" s="105" t="str">
        <f t="shared" ca="1" si="0"/>
        <v xml:space="preserve">25 years 2 months 28 days </v>
      </c>
    </row>
    <row r="26" spans="5:9" ht="14.25" customHeight="1" x14ac:dyDescent="0.35">
      <c r="E26" s="3" t="s">
        <v>146</v>
      </c>
      <c r="F26" s="3">
        <v>114</v>
      </c>
      <c r="G26" s="3" t="s">
        <v>27</v>
      </c>
      <c r="H26" s="104">
        <v>33699</v>
      </c>
      <c r="I26" s="105" t="str">
        <f t="shared" ca="1" si="0"/>
        <v xml:space="preserve">34 years 6 months 10 days </v>
      </c>
    </row>
    <row r="27" spans="5:9" ht="14.25" customHeight="1" x14ac:dyDescent="0.35">
      <c r="E27" s="3" t="s">
        <v>148</v>
      </c>
      <c r="F27" s="3">
        <v>115</v>
      </c>
      <c r="G27" s="3" t="s">
        <v>27</v>
      </c>
      <c r="H27" s="104">
        <v>35431</v>
      </c>
      <c r="I27" s="105" t="str">
        <f t="shared" ca="1" si="0"/>
        <v xml:space="preserve">29 years 9 months 14 days </v>
      </c>
    </row>
    <row r="28" spans="5:9" ht="14.25" customHeight="1" x14ac:dyDescent="0.35">
      <c r="E28" s="3" t="s">
        <v>149</v>
      </c>
      <c r="F28" s="3">
        <v>116</v>
      </c>
      <c r="G28" s="3" t="s">
        <v>27</v>
      </c>
      <c r="H28" s="104">
        <v>37062</v>
      </c>
      <c r="I28" s="105" t="str">
        <f t="shared" ca="1" si="0"/>
        <v xml:space="preserve">25 years 3 months 25 days </v>
      </c>
    </row>
    <row r="29" spans="5:9" ht="14.25" customHeight="1" x14ac:dyDescent="0.35">
      <c r="E29" s="3" t="s">
        <v>150</v>
      </c>
      <c r="F29" s="3">
        <v>117</v>
      </c>
      <c r="G29" s="3" t="s">
        <v>27</v>
      </c>
      <c r="H29" s="104">
        <v>33962</v>
      </c>
      <c r="I29" s="105" t="str">
        <f t="shared" ca="1" si="0"/>
        <v xml:space="preserve">33 years 9 months 21 days </v>
      </c>
    </row>
    <row r="30" spans="5:9" ht="14.25" customHeight="1" x14ac:dyDescent="0.35">
      <c r="E30" s="3" t="s">
        <v>151</v>
      </c>
      <c r="F30" s="3">
        <v>118</v>
      </c>
      <c r="G30" s="3" t="s">
        <v>17</v>
      </c>
      <c r="H30" s="104">
        <v>36619</v>
      </c>
      <c r="I30" s="105" t="str">
        <f t="shared" ca="1" si="0"/>
        <v xml:space="preserve">26 years 6 months 12 days </v>
      </c>
    </row>
    <row r="31" spans="5:9" ht="14.25" customHeight="1" x14ac:dyDescent="0.35">
      <c r="E31" s="3" t="s">
        <v>153</v>
      </c>
      <c r="F31" s="3">
        <v>119</v>
      </c>
      <c r="G31" s="3" t="s">
        <v>17</v>
      </c>
      <c r="H31" s="104">
        <v>35339</v>
      </c>
      <c r="I31" s="105" t="str">
        <f t="shared" ca="1" si="0"/>
        <v xml:space="preserve">30 years 0 months 14 days </v>
      </c>
    </row>
    <row r="32" spans="5:9" ht="14.25" customHeight="1" x14ac:dyDescent="0.35">
      <c r="E32" s="3" t="s">
        <v>154</v>
      </c>
      <c r="F32" s="3">
        <v>110</v>
      </c>
      <c r="G32" s="3" t="s">
        <v>17</v>
      </c>
      <c r="H32" s="104">
        <v>34578</v>
      </c>
      <c r="I32" s="105" t="str">
        <f t="shared" ca="1" si="0"/>
        <v xml:space="preserve">32 years 1 months 14 days </v>
      </c>
    </row>
    <row r="33" spans="5:9" ht="14.25" customHeight="1" x14ac:dyDescent="0.35">
      <c r="E33" s="3" t="s">
        <v>156</v>
      </c>
      <c r="F33" s="3">
        <v>111</v>
      </c>
      <c r="G33" s="3" t="s">
        <v>17</v>
      </c>
      <c r="H33" s="104">
        <v>34635</v>
      </c>
      <c r="I33" s="105" t="str">
        <f t="shared" ca="1" si="0"/>
        <v xml:space="preserve">31 years 11 months 17 days </v>
      </c>
    </row>
    <row r="34" spans="5:9" ht="14.25" customHeight="1" x14ac:dyDescent="0.35">
      <c r="E34" s="3" t="s">
        <v>157</v>
      </c>
      <c r="F34" s="3">
        <v>112</v>
      </c>
      <c r="G34" s="3" t="s">
        <v>27</v>
      </c>
      <c r="H34" s="104">
        <v>37176</v>
      </c>
      <c r="I34" s="105" t="str">
        <f t="shared" ca="1" si="0"/>
        <v xml:space="preserve">25 years 0 months 3 days </v>
      </c>
    </row>
    <row r="35" spans="5:9" ht="14.25" customHeight="1" x14ac:dyDescent="0.35">
      <c r="E35" s="3" t="s">
        <v>158</v>
      </c>
      <c r="F35" s="3">
        <v>113</v>
      </c>
      <c r="G35" s="3" t="s">
        <v>17</v>
      </c>
      <c r="H35" s="104">
        <v>36068</v>
      </c>
      <c r="I35" s="105" t="str">
        <f t="shared" ca="1" si="0"/>
        <v xml:space="preserve">28 years 0 months 15 days </v>
      </c>
    </row>
    <row r="36" spans="5:9" ht="14.25" customHeight="1" x14ac:dyDescent="0.35">
      <c r="E36" s="3" t="s">
        <v>159</v>
      </c>
      <c r="F36" s="3">
        <v>114</v>
      </c>
      <c r="G36" s="3" t="s">
        <v>17</v>
      </c>
      <c r="H36" s="104">
        <v>34912</v>
      </c>
      <c r="I36" s="105" t="str">
        <f t="shared" ca="1" si="0"/>
        <v xml:space="preserve">31 years 2 months 14 days </v>
      </c>
    </row>
    <row r="37" spans="5:9" ht="14.25" customHeight="1" x14ac:dyDescent="0.35">
      <c r="E37" s="3" t="s">
        <v>162</v>
      </c>
      <c r="F37" s="3">
        <v>115</v>
      </c>
      <c r="G37" s="3" t="s">
        <v>17</v>
      </c>
      <c r="H37" s="104">
        <v>36437</v>
      </c>
      <c r="I37" s="105" t="str">
        <f t="shared" ca="1" si="0"/>
        <v xml:space="preserve">27 years 0 months 11 days </v>
      </c>
    </row>
    <row r="38" spans="5:9" ht="14.25" customHeight="1" x14ac:dyDescent="0.35">
      <c r="E38" s="3" t="s">
        <v>164</v>
      </c>
      <c r="F38" s="3">
        <v>116</v>
      </c>
      <c r="G38" s="3" t="s">
        <v>27</v>
      </c>
      <c r="H38" s="104">
        <v>33535</v>
      </c>
      <c r="I38" s="105" t="str">
        <f t="shared" ca="1" si="0"/>
        <v xml:space="preserve">34 years 11 months 21 days </v>
      </c>
    </row>
    <row r="39" spans="5:9" ht="14.25" customHeight="1" x14ac:dyDescent="0.35">
      <c r="E39" s="3" t="s">
        <v>166</v>
      </c>
      <c r="F39" s="3">
        <v>117</v>
      </c>
      <c r="G39" s="3" t="s">
        <v>27</v>
      </c>
      <c r="H39" s="104">
        <v>35077</v>
      </c>
      <c r="I39" s="105" t="str">
        <f t="shared" ca="1" si="0"/>
        <v xml:space="preserve">30 years 9 months 2 days </v>
      </c>
    </row>
    <row r="40" spans="5:9" ht="14.25" customHeight="1" x14ac:dyDescent="0.35">
      <c r="E40" s="3" t="s">
        <v>167</v>
      </c>
      <c r="F40" s="3">
        <v>118</v>
      </c>
      <c r="G40" s="3" t="s">
        <v>17</v>
      </c>
      <c r="H40" s="104">
        <v>33690</v>
      </c>
      <c r="I40" s="105" t="str">
        <f t="shared" ca="1" si="0"/>
        <v xml:space="preserve">34 years 6 months 18 days </v>
      </c>
    </row>
    <row r="41" spans="5:9" ht="14.25" customHeight="1" x14ac:dyDescent="0.35">
      <c r="E41" s="3" t="s">
        <v>168</v>
      </c>
      <c r="F41" s="3">
        <v>119</v>
      </c>
      <c r="G41" s="3" t="s">
        <v>17</v>
      </c>
      <c r="H41" s="104">
        <v>33880</v>
      </c>
      <c r="I41" s="105" t="str">
        <f t="shared" ca="1" si="0"/>
        <v xml:space="preserve">34 years 0 months 12 days </v>
      </c>
    </row>
    <row r="42" spans="5:9" ht="14.25" customHeight="1" x14ac:dyDescent="0.35">
      <c r="E42" s="3" t="s">
        <v>170</v>
      </c>
      <c r="F42" s="3">
        <v>120</v>
      </c>
      <c r="G42" s="3" t="s">
        <v>27</v>
      </c>
      <c r="H42" s="104">
        <v>33960</v>
      </c>
      <c r="I42" s="105" t="str">
        <f t="shared" ca="1" si="0"/>
        <v xml:space="preserve">33 years 9 months 23 days </v>
      </c>
    </row>
    <row r="43" spans="5:9" ht="14.25" customHeight="1" x14ac:dyDescent="0.35">
      <c r="E43" s="3" t="s">
        <v>171</v>
      </c>
      <c r="F43" s="3">
        <v>121</v>
      </c>
      <c r="G43" s="3" t="s">
        <v>17</v>
      </c>
      <c r="H43" s="104">
        <v>35680</v>
      </c>
      <c r="I43" s="105" t="str">
        <f t="shared" ca="1" si="0"/>
        <v xml:space="preserve">29 years 1 months 8 days </v>
      </c>
    </row>
    <row r="44" spans="5:9" ht="14.25" customHeight="1" x14ac:dyDescent="0.35"/>
    <row r="45" spans="5:9" ht="14.25" customHeight="1" x14ac:dyDescent="0.35"/>
    <row r="46" spans="5:9" ht="14.25" customHeight="1" x14ac:dyDescent="0.35"/>
    <row r="47" spans="5:9" ht="14.25" customHeight="1" x14ac:dyDescent="0.35"/>
    <row r="48" spans="5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E1:H1"/>
    <mergeCell ref="K3:N3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showGridLines="0" workbookViewId="0">
      <selection activeCell="I9" sqref="I9"/>
    </sheetView>
  </sheetViews>
  <sheetFormatPr defaultColWidth="14.453125" defaultRowHeight="15" customHeight="1" x14ac:dyDescent="0.35"/>
  <cols>
    <col min="1" max="1" width="14.26953125" customWidth="1"/>
    <col min="2" max="2" width="21.81640625" customWidth="1"/>
    <col min="3" max="3" width="20" customWidth="1"/>
    <col min="4" max="4" width="8.7265625" customWidth="1"/>
    <col min="5" max="5" width="25.08984375" customWidth="1"/>
    <col min="6" max="6" width="14.26953125" bestFit="1" customWidth="1"/>
    <col min="7" max="7" width="21.81640625" bestFit="1" customWidth="1"/>
    <col min="8" max="26" width="8.7265625" customWidth="1"/>
  </cols>
  <sheetData>
    <row r="1" spans="1:7" ht="14.25" customHeight="1" x14ac:dyDescent="0.35">
      <c r="A1" s="119" t="s">
        <v>321</v>
      </c>
      <c r="B1" s="107"/>
      <c r="C1" s="107"/>
      <c r="D1" s="107"/>
      <c r="E1" s="107"/>
      <c r="F1" s="108"/>
    </row>
    <row r="2" spans="1:7" ht="14.25" customHeight="1" thickBot="1" x14ac:dyDescent="0.4"/>
    <row r="3" spans="1:7" ht="14.25" customHeight="1" thickBot="1" x14ac:dyDescent="0.4">
      <c r="A3" s="123" t="s">
        <v>256</v>
      </c>
      <c r="B3" s="124"/>
      <c r="C3" s="124"/>
      <c r="D3" s="68"/>
      <c r="E3" s="123" t="s">
        <v>257</v>
      </c>
      <c r="F3" s="124"/>
      <c r="G3" s="124"/>
    </row>
    <row r="4" spans="1:7" ht="14.25" customHeight="1" x14ac:dyDescent="0.35">
      <c r="A4" s="89" t="s">
        <v>222</v>
      </c>
      <c r="B4" s="89" t="s">
        <v>48</v>
      </c>
      <c r="C4" s="89" t="s">
        <v>69</v>
      </c>
      <c r="E4" s="89" t="s">
        <v>69</v>
      </c>
      <c r="F4" s="89" t="s">
        <v>222</v>
      </c>
      <c r="G4" s="89" t="s">
        <v>48</v>
      </c>
    </row>
    <row r="5" spans="1:7" ht="14.25" customHeight="1" x14ac:dyDescent="0.35">
      <c r="A5" s="90" t="s">
        <v>78</v>
      </c>
      <c r="B5" s="90" t="s">
        <v>80</v>
      </c>
      <c r="C5" s="90" t="s">
        <v>163</v>
      </c>
      <c r="E5" s="90" t="s">
        <v>163</v>
      </c>
      <c r="F5" s="88" t="str">
        <f>INDEX($A$4:$C$13,MATCH(E5,$C$4:$C$13,0),1)</f>
        <v>Hardware</v>
      </c>
      <c r="G5" s="88" t="str">
        <f>INDEX($A$4:$C$13,MATCH(E5,$C$4:$C$13,0),2)</f>
        <v>Damaged-Malfunctioned</v>
      </c>
    </row>
    <row r="6" spans="1:7" ht="14.25" customHeight="1" x14ac:dyDescent="0.35">
      <c r="A6" s="90" t="s">
        <v>78</v>
      </c>
      <c r="B6" s="90" t="s">
        <v>87</v>
      </c>
      <c r="C6" s="90" t="s">
        <v>247</v>
      </c>
      <c r="E6" s="90" t="s">
        <v>247</v>
      </c>
      <c r="F6" s="88" t="str">
        <f>INDEX($A$4:$C$13,MATCH(E6,$C$4:$C$13,0),1)</f>
        <v>Hardware</v>
      </c>
      <c r="G6" s="88" t="str">
        <f t="shared" ref="G6:G13" si="0">INDEX($A$4:$C$13,MATCH(E6,$C$4:$C$13,0),2)</f>
        <v>Complete System</v>
      </c>
    </row>
    <row r="7" spans="1:7" ht="14.25" customHeight="1" x14ac:dyDescent="0.35">
      <c r="A7" s="90" t="s">
        <v>78</v>
      </c>
      <c r="B7" s="90" t="s">
        <v>90</v>
      </c>
      <c r="C7" s="90" t="s">
        <v>109</v>
      </c>
      <c r="E7" s="90" t="s">
        <v>109</v>
      </c>
      <c r="F7" s="88" t="str">
        <f t="shared" ref="F7:F13" si="1">INDEX($A$4:$C$13,MATCH(E7,$C$4:$C$13,0),1)</f>
        <v>Hardware</v>
      </c>
      <c r="G7" s="88" t="str">
        <f t="shared" si="0"/>
        <v>Usage</v>
      </c>
    </row>
    <row r="8" spans="1:7" ht="14.25" customHeight="1" x14ac:dyDescent="0.35">
      <c r="A8" s="90" t="s">
        <v>92</v>
      </c>
      <c r="B8" s="90" t="s">
        <v>93</v>
      </c>
      <c r="C8" s="90" t="s">
        <v>249</v>
      </c>
      <c r="E8" s="90" t="s">
        <v>249</v>
      </c>
      <c r="F8" s="88" t="str">
        <f t="shared" si="1"/>
        <v>Off the Shelf</v>
      </c>
      <c r="G8" s="88" t="str">
        <f t="shared" si="0"/>
        <v>Windows 7</v>
      </c>
    </row>
    <row r="9" spans="1:7" ht="14.25" customHeight="1" x14ac:dyDescent="0.35">
      <c r="A9" s="90" t="s">
        <v>250</v>
      </c>
      <c r="B9" s="90" t="s">
        <v>96</v>
      </c>
      <c r="C9" s="90" t="s">
        <v>251</v>
      </c>
      <c r="E9" s="90" t="s">
        <v>251</v>
      </c>
      <c r="F9" s="88" t="str">
        <f t="shared" si="1"/>
        <v xml:space="preserve"> No Area Given </v>
      </c>
      <c r="G9" s="88" t="str">
        <f t="shared" si="0"/>
        <v xml:space="preserve"> No Sub Area Given </v>
      </c>
    </row>
    <row r="10" spans="1:7" ht="14.25" customHeight="1" x14ac:dyDescent="0.35">
      <c r="A10" s="90" t="s">
        <v>99</v>
      </c>
      <c r="B10" s="90" t="s">
        <v>100</v>
      </c>
      <c r="C10" s="90" t="s">
        <v>252</v>
      </c>
      <c r="E10" s="90" t="s">
        <v>252</v>
      </c>
      <c r="F10" s="88" t="str">
        <f t="shared" si="1"/>
        <v>iPad - Hardware</v>
      </c>
      <c r="G10" s="88" t="str">
        <f t="shared" si="0"/>
        <v>Lost/Stolen</v>
      </c>
    </row>
    <row r="11" spans="1:7" ht="14.25" customHeight="1" x14ac:dyDescent="0.35">
      <c r="A11" s="90" t="s">
        <v>103</v>
      </c>
      <c r="B11" s="90" t="s">
        <v>105</v>
      </c>
      <c r="C11" s="90" t="s">
        <v>253</v>
      </c>
      <c r="E11" s="90" t="s">
        <v>253</v>
      </c>
      <c r="F11" s="88" t="str">
        <f t="shared" si="1"/>
        <v>Veeva</v>
      </c>
      <c r="G11" s="88" t="str">
        <f t="shared" si="0"/>
        <v>Calls</v>
      </c>
    </row>
    <row r="12" spans="1:7" ht="14.25" customHeight="1" x14ac:dyDescent="0.35">
      <c r="A12" s="90" t="s">
        <v>99</v>
      </c>
      <c r="B12" s="90" t="s">
        <v>107</v>
      </c>
      <c r="C12" s="90" t="s">
        <v>109</v>
      </c>
      <c r="E12" s="90" t="s">
        <v>109</v>
      </c>
      <c r="F12" s="88" t="str">
        <f t="shared" si="1"/>
        <v>Hardware</v>
      </c>
      <c r="G12" s="88" t="str">
        <f t="shared" si="0"/>
        <v>Usage</v>
      </c>
    </row>
    <row r="13" spans="1:7" ht="14.25" customHeight="1" x14ac:dyDescent="0.35">
      <c r="A13" s="90" t="s">
        <v>103</v>
      </c>
      <c r="B13" s="90" t="s">
        <v>105</v>
      </c>
      <c r="C13" s="90" t="s">
        <v>255</v>
      </c>
      <c r="E13" s="90" t="s">
        <v>255</v>
      </c>
      <c r="F13" s="88" t="str">
        <f t="shared" si="1"/>
        <v>Veeva</v>
      </c>
      <c r="G13" s="88" t="str">
        <f t="shared" si="0"/>
        <v>Calls</v>
      </c>
    </row>
    <row r="14" spans="1:7" ht="14.25" customHeight="1" x14ac:dyDescent="0.35"/>
    <row r="15" spans="1:7" ht="14.25" customHeight="1" x14ac:dyDescent="0.35">
      <c r="E15" s="99"/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:F1"/>
    <mergeCell ref="A3:C3"/>
    <mergeCell ref="E3:G3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1000"/>
  <sheetViews>
    <sheetView showGridLines="0" workbookViewId="0">
      <selection activeCell="H11" sqref="H11"/>
    </sheetView>
  </sheetViews>
  <sheetFormatPr defaultColWidth="14.453125" defaultRowHeight="15" customHeight="1" x14ac:dyDescent="0.35"/>
  <cols>
    <col min="1" max="4" width="8.7265625" customWidth="1"/>
    <col min="5" max="5" width="1.81640625" bestFit="1" customWidth="1"/>
    <col min="6" max="26" width="8.7265625" customWidth="1"/>
  </cols>
  <sheetData>
    <row r="1" spans="2:10" ht="14.25" customHeight="1" x14ac:dyDescent="0.35">
      <c r="F1" s="125" t="s">
        <v>322</v>
      </c>
      <c r="G1" s="125"/>
      <c r="H1" s="125"/>
      <c r="I1" s="125"/>
    </row>
    <row r="2" spans="2:10" ht="14.25" customHeight="1" x14ac:dyDescent="0.35">
      <c r="B2" s="69" t="s">
        <v>323</v>
      </c>
    </row>
    <row r="3" spans="2:10" ht="14.25" customHeight="1" x14ac:dyDescent="0.35">
      <c r="B3" s="46">
        <v>29</v>
      </c>
      <c r="D3" s="126" t="s">
        <v>324</v>
      </c>
      <c r="E3" s="126"/>
      <c r="F3" s="126"/>
      <c r="H3" s="127" t="s">
        <v>325</v>
      </c>
      <c r="I3" s="107"/>
      <c r="J3" s="108"/>
    </row>
    <row r="4" spans="2:10" ht="14.25" customHeight="1" x14ac:dyDescent="0.35">
      <c r="B4" s="46">
        <v>-3</v>
      </c>
      <c r="E4" s="70">
        <f>COUNTIF(B3:B15,"&gt;0")</f>
        <v>8</v>
      </c>
      <c r="I4" s="70">
        <f>COUNTIF(B3:B15,"&lt;0")</f>
        <v>5</v>
      </c>
    </row>
    <row r="5" spans="2:10" ht="14.25" customHeight="1" x14ac:dyDescent="0.35">
      <c r="B5" s="46">
        <v>-44</v>
      </c>
    </row>
    <row r="6" spans="2:10" ht="14.25" customHeight="1" x14ac:dyDescent="0.35">
      <c r="B6" s="46">
        <v>23</v>
      </c>
    </row>
    <row r="7" spans="2:10" ht="14.25" customHeight="1" x14ac:dyDescent="0.35">
      <c r="B7" s="46">
        <v>8</v>
      </c>
    </row>
    <row r="8" spans="2:10" ht="14.25" customHeight="1" x14ac:dyDescent="0.35">
      <c r="B8" s="46">
        <v>1</v>
      </c>
    </row>
    <row r="9" spans="2:10" ht="14.25" customHeight="1" x14ac:dyDescent="0.35">
      <c r="B9" s="46">
        <v>-6</v>
      </c>
    </row>
    <row r="10" spans="2:10" ht="14.25" customHeight="1" x14ac:dyDescent="0.35">
      <c r="B10" s="46">
        <v>6</v>
      </c>
    </row>
    <row r="11" spans="2:10" ht="14.25" customHeight="1" x14ac:dyDescent="0.35">
      <c r="B11" s="46">
        <v>-2</v>
      </c>
    </row>
    <row r="12" spans="2:10" ht="14.25" customHeight="1" x14ac:dyDescent="0.35">
      <c r="B12" s="46">
        <v>5</v>
      </c>
    </row>
    <row r="13" spans="2:10" ht="14.25" customHeight="1" x14ac:dyDescent="0.35">
      <c r="B13" s="46">
        <v>22</v>
      </c>
    </row>
    <row r="14" spans="2:10" ht="14.25" customHeight="1" x14ac:dyDescent="0.35">
      <c r="B14" s="46">
        <v>-222</v>
      </c>
    </row>
    <row r="15" spans="2:10" ht="14.25" customHeight="1" x14ac:dyDescent="0.35">
      <c r="B15" s="46">
        <v>4</v>
      </c>
    </row>
    <row r="16" spans="2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F1:I1"/>
    <mergeCell ref="D3:F3"/>
    <mergeCell ref="H3:J3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>
      <selection activeCell="D14" sqref="D14"/>
    </sheetView>
  </sheetViews>
  <sheetFormatPr defaultColWidth="14.453125" defaultRowHeight="15" customHeight="1" x14ac:dyDescent="0.35"/>
  <cols>
    <col min="1" max="1" width="10.7265625" customWidth="1"/>
    <col min="2" max="2" width="3.54296875" customWidth="1"/>
    <col min="3" max="3" width="14.26953125" customWidth="1"/>
    <col min="4" max="4" width="16.453125" customWidth="1"/>
    <col min="5" max="5" width="9.08984375" customWidth="1"/>
    <col min="6" max="7" width="8.7265625" customWidth="1"/>
    <col min="8" max="8" width="13.453125" customWidth="1"/>
    <col min="9" max="9" width="16.36328125" bestFit="1" customWidth="1"/>
    <col min="10" max="31" width="8.7265625" customWidth="1"/>
  </cols>
  <sheetData>
    <row r="1" spans="1:10" ht="14.25" customHeight="1" x14ac:dyDescent="0.35">
      <c r="A1" s="128" t="s">
        <v>323</v>
      </c>
      <c r="B1" s="107"/>
      <c r="C1" s="107"/>
      <c r="D1" s="107"/>
      <c r="E1" s="108"/>
    </row>
    <row r="2" spans="1:10" ht="14.25" customHeight="1" x14ac:dyDescent="0.35">
      <c r="A2" s="71" t="s">
        <v>326</v>
      </c>
      <c r="B2" s="71" t="s">
        <v>327</v>
      </c>
      <c r="C2" s="71" t="s">
        <v>328</v>
      </c>
      <c r="D2" s="71" t="s">
        <v>329</v>
      </c>
      <c r="E2" s="71" t="s">
        <v>330</v>
      </c>
      <c r="H2" s="72" t="s">
        <v>331</v>
      </c>
    </row>
    <row r="3" spans="1:10" ht="14.25" customHeight="1" x14ac:dyDescent="0.35">
      <c r="A3" s="73">
        <v>1</v>
      </c>
      <c r="B3" s="73" t="s">
        <v>369</v>
      </c>
      <c r="C3" s="74">
        <v>96175</v>
      </c>
      <c r="D3" s="74">
        <v>10999</v>
      </c>
      <c r="E3" s="74">
        <f t="shared" ref="E3:E24" si="0">C3-D3</f>
        <v>85176</v>
      </c>
      <c r="H3" s="35" t="s">
        <v>333</v>
      </c>
      <c r="I3" s="75">
        <f>SUM(C3:C24)</f>
        <v>1062536</v>
      </c>
    </row>
    <row r="4" spans="1:10" ht="14.25" customHeight="1" x14ac:dyDescent="0.35">
      <c r="A4" s="73">
        <v>1</v>
      </c>
      <c r="B4" s="73" t="s">
        <v>359</v>
      </c>
      <c r="C4" s="74">
        <v>96794</v>
      </c>
      <c r="D4" s="74">
        <v>20303</v>
      </c>
      <c r="E4" s="74">
        <f t="shared" si="0"/>
        <v>76491</v>
      </c>
      <c r="H4" s="35" t="s">
        <v>335</v>
      </c>
      <c r="I4" s="75">
        <f>SUM(D3:D24)</f>
        <v>960856</v>
      </c>
    </row>
    <row r="5" spans="1:10" ht="14.25" customHeight="1" x14ac:dyDescent="0.35">
      <c r="A5" s="73">
        <v>4</v>
      </c>
      <c r="B5" s="73" t="s">
        <v>334</v>
      </c>
      <c r="C5" s="74">
        <v>77887</v>
      </c>
      <c r="D5" s="74">
        <v>3956</v>
      </c>
      <c r="E5" s="74">
        <f t="shared" si="0"/>
        <v>73931</v>
      </c>
      <c r="H5" s="35" t="s">
        <v>337</v>
      </c>
      <c r="I5" s="75">
        <f>SUM(E3:E24)</f>
        <v>101680</v>
      </c>
    </row>
    <row r="6" spans="1:10" ht="14.25" customHeight="1" x14ac:dyDescent="0.35">
      <c r="A6" s="73">
        <v>4</v>
      </c>
      <c r="B6" s="73" t="s">
        <v>363</v>
      </c>
      <c r="C6" s="74">
        <v>72591</v>
      </c>
      <c r="D6" s="74">
        <v>4732</v>
      </c>
      <c r="E6" s="74">
        <f t="shared" si="0"/>
        <v>67859</v>
      </c>
    </row>
    <row r="7" spans="1:10" ht="14.25" customHeight="1" x14ac:dyDescent="0.35">
      <c r="A7" s="73">
        <v>1</v>
      </c>
      <c r="B7" s="73" t="s">
        <v>360</v>
      </c>
      <c r="C7" s="74">
        <v>82598</v>
      </c>
      <c r="D7" s="74">
        <v>25039</v>
      </c>
      <c r="E7" s="74">
        <f t="shared" si="0"/>
        <v>57559</v>
      </c>
      <c r="H7" s="72" t="s">
        <v>340</v>
      </c>
    </row>
    <row r="8" spans="1:10" ht="14.25" customHeight="1" x14ac:dyDescent="0.35">
      <c r="A8" s="73">
        <v>4</v>
      </c>
      <c r="B8" s="73" t="s">
        <v>353</v>
      </c>
      <c r="C8" s="74">
        <v>49404</v>
      </c>
      <c r="D8" s="74">
        <v>9744</v>
      </c>
      <c r="E8" s="74">
        <f t="shared" si="0"/>
        <v>39660</v>
      </c>
      <c r="H8" s="76" t="s">
        <v>327</v>
      </c>
      <c r="I8" s="76" t="s">
        <v>343</v>
      </c>
    </row>
    <row r="9" spans="1:10" ht="14.25" customHeight="1" x14ac:dyDescent="0.35">
      <c r="A9" s="73">
        <v>2</v>
      </c>
      <c r="B9" s="73" t="s">
        <v>368</v>
      </c>
      <c r="C9" s="74">
        <v>46976</v>
      </c>
      <c r="D9" s="74">
        <v>14665</v>
      </c>
      <c r="E9" s="74">
        <f t="shared" si="0"/>
        <v>32311</v>
      </c>
      <c r="H9" s="73" t="s">
        <v>369</v>
      </c>
      <c r="I9" s="93">
        <v>85176</v>
      </c>
    </row>
    <row r="10" spans="1:10" ht="14.25" customHeight="1" x14ac:dyDescent="0.35">
      <c r="A10" s="73">
        <v>1</v>
      </c>
      <c r="B10" s="73" t="s">
        <v>338</v>
      </c>
      <c r="C10" s="74">
        <v>75347</v>
      </c>
      <c r="D10" s="74">
        <v>58745</v>
      </c>
      <c r="E10" s="74">
        <f t="shared" si="0"/>
        <v>16602</v>
      </c>
      <c r="H10" s="73" t="s">
        <v>359</v>
      </c>
      <c r="I10" s="92">
        <v>76491</v>
      </c>
      <c r="J10" s="94"/>
    </row>
    <row r="11" spans="1:10" ht="14.25" customHeight="1" x14ac:dyDescent="0.35">
      <c r="A11" s="73">
        <v>2</v>
      </c>
      <c r="B11" s="73" t="s">
        <v>346</v>
      </c>
      <c r="C11" s="74">
        <v>95624</v>
      </c>
      <c r="D11" s="74">
        <v>81633</v>
      </c>
      <c r="E11" s="74">
        <f t="shared" si="0"/>
        <v>13991</v>
      </c>
      <c r="H11" s="73" t="s">
        <v>334</v>
      </c>
      <c r="I11" s="92">
        <v>73931</v>
      </c>
    </row>
    <row r="12" spans="1:10" ht="14.25" customHeight="1" x14ac:dyDescent="0.35">
      <c r="A12" s="73">
        <v>5</v>
      </c>
      <c r="B12" s="73" t="s">
        <v>332</v>
      </c>
      <c r="C12" s="74">
        <v>40611</v>
      </c>
      <c r="D12" s="74">
        <v>28042</v>
      </c>
      <c r="E12" s="74">
        <f t="shared" si="0"/>
        <v>12569</v>
      </c>
    </row>
    <row r="13" spans="1:10" ht="14.25" customHeight="1" x14ac:dyDescent="0.35">
      <c r="A13" s="73">
        <v>1</v>
      </c>
      <c r="B13" s="73" t="s">
        <v>365</v>
      </c>
      <c r="C13" s="74">
        <v>25955</v>
      </c>
      <c r="D13" s="74">
        <v>14759</v>
      </c>
      <c r="E13" s="74">
        <f t="shared" si="0"/>
        <v>11196</v>
      </c>
      <c r="H13" s="72" t="s">
        <v>351</v>
      </c>
    </row>
    <row r="14" spans="1:10" ht="14.25" customHeight="1" x14ac:dyDescent="0.35">
      <c r="A14" s="73">
        <v>2</v>
      </c>
      <c r="B14" s="73" t="s">
        <v>339</v>
      </c>
      <c r="C14" s="74">
        <v>13225</v>
      </c>
      <c r="D14" s="74">
        <v>3747</v>
      </c>
      <c r="E14" s="74">
        <f t="shared" si="0"/>
        <v>9478</v>
      </c>
      <c r="H14" s="101" t="s">
        <v>326</v>
      </c>
      <c r="I14" s="101" t="s">
        <v>343</v>
      </c>
    </row>
    <row r="15" spans="1:10" ht="14.25" customHeight="1" x14ac:dyDescent="0.35">
      <c r="A15" s="73">
        <v>4</v>
      </c>
      <c r="B15" s="73" t="s">
        <v>370</v>
      </c>
      <c r="C15" s="74">
        <v>50284</v>
      </c>
      <c r="D15" s="74">
        <v>51151</v>
      </c>
      <c r="E15" s="74">
        <f t="shared" si="0"/>
        <v>-867</v>
      </c>
      <c r="H15" s="102">
        <v>4</v>
      </c>
      <c r="I15" s="103">
        <v>119479</v>
      </c>
    </row>
    <row r="16" spans="1:10" ht="14.25" customHeight="1" x14ac:dyDescent="0.35">
      <c r="A16" s="73">
        <v>3</v>
      </c>
      <c r="B16" s="73" t="s">
        <v>355</v>
      </c>
      <c r="C16" s="74">
        <v>12099</v>
      </c>
      <c r="D16" s="74">
        <v>25646</v>
      </c>
      <c r="E16" s="74">
        <f t="shared" si="0"/>
        <v>-13547</v>
      </c>
      <c r="H16" s="102">
        <v>1</v>
      </c>
      <c r="I16" s="103">
        <v>68938</v>
      </c>
    </row>
    <row r="17" spans="1:9" ht="14.25" customHeight="1" x14ac:dyDescent="0.35">
      <c r="A17" s="73">
        <v>4</v>
      </c>
      <c r="B17" s="73" t="s">
        <v>367</v>
      </c>
      <c r="C17" s="74">
        <v>9800</v>
      </c>
      <c r="D17" s="74">
        <v>27335</v>
      </c>
      <c r="E17" s="74">
        <f t="shared" si="0"/>
        <v>-17535</v>
      </c>
      <c r="H17" s="102">
        <v>5</v>
      </c>
      <c r="I17" s="103">
        <v>12569</v>
      </c>
    </row>
    <row r="18" spans="1:9" ht="14.25" customHeight="1" x14ac:dyDescent="0.35">
      <c r="A18" s="73">
        <v>1</v>
      </c>
      <c r="B18" s="73" t="s">
        <v>344</v>
      </c>
      <c r="C18" s="74">
        <v>59032</v>
      </c>
      <c r="D18" s="74">
        <v>91810</v>
      </c>
      <c r="E18" s="74">
        <f t="shared" si="0"/>
        <v>-32778</v>
      </c>
    </row>
    <row r="19" spans="1:9" ht="14.25" customHeight="1" x14ac:dyDescent="0.35">
      <c r="A19" s="73">
        <v>2</v>
      </c>
      <c r="B19" s="73" t="s">
        <v>361</v>
      </c>
      <c r="C19" s="74">
        <v>53250</v>
      </c>
      <c r="D19" s="74">
        <v>90334</v>
      </c>
      <c r="E19" s="74">
        <f t="shared" si="0"/>
        <v>-37084</v>
      </c>
      <c r="H19" s="72" t="s">
        <v>364</v>
      </c>
    </row>
    <row r="20" spans="1:9" ht="14.25" customHeight="1" x14ac:dyDescent="0.35">
      <c r="A20" s="73">
        <v>4</v>
      </c>
      <c r="B20" s="73" t="s">
        <v>345</v>
      </c>
      <c r="C20" s="74">
        <v>37097</v>
      </c>
      <c r="D20" s="74">
        <v>80666</v>
      </c>
      <c r="E20" s="74">
        <f t="shared" si="0"/>
        <v>-43569</v>
      </c>
      <c r="H20" s="101" t="s">
        <v>326</v>
      </c>
      <c r="I20" s="101" t="s">
        <v>366</v>
      </c>
    </row>
    <row r="21" spans="1:9" ht="14.25" customHeight="1" x14ac:dyDescent="0.35">
      <c r="A21" s="73">
        <v>3</v>
      </c>
      <c r="B21" s="73" t="s">
        <v>347</v>
      </c>
      <c r="C21" s="74">
        <v>11987</v>
      </c>
      <c r="D21" s="74">
        <v>60815</v>
      </c>
      <c r="E21" s="74">
        <f t="shared" si="0"/>
        <v>-48828</v>
      </c>
      <c r="H21" s="102">
        <v>1</v>
      </c>
      <c r="I21" s="88">
        <v>8</v>
      </c>
    </row>
    <row r="22" spans="1:9" ht="14.25" customHeight="1" x14ac:dyDescent="0.35">
      <c r="A22" s="73">
        <v>2</v>
      </c>
      <c r="B22" s="73" t="s">
        <v>341</v>
      </c>
      <c r="C22" s="74">
        <v>27953</v>
      </c>
      <c r="D22" s="74">
        <v>83580</v>
      </c>
      <c r="E22" s="74">
        <f t="shared" si="0"/>
        <v>-55627</v>
      </c>
      <c r="H22" s="102">
        <v>4</v>
      </c>
      <c r="I22" s="88">
        <v>6</v>
      </c>
    </row>
    <row r="23" spans="1:9" ht="14.25" customHeight="1" x14ac:dyDescent="0.35">
      <c r="A23" s="73">
        <v>1</v>
      </c>
      <c r="B23" s="73" t="s">
        <v>336</v>
      </c>
      <c r="C23" s="74">
        <v>14399</v>
      </c>
      <c r="D23" s="74">
        <v>81411</v>
      </c>
      <c r="E23" s="74">
        <f t="shared" si="0"/>
        <v>-67012</v>
      </c>
      <c r="H23" s="102">
        <v>2</v>
      </c>
      <c r="I23" s="88">
        <v>5</v>
      </c>
    </row>
    <row r="24" spans="1:9" ht="14.25" customHeight="1" x14ac:dyDescent="0.35">
      <c r="A24" s="73">
        <v>1</v>
      </c>
      <c r="B24" s="73" t="s">
        <v>349</v>
      </c>
      <c r="C24" s="74">
        <v>13448</v>
      </c>
      <c r="D24" s="74">
        <v>91744</v>
      </c>
      <c r="E24" s="74">
        <f t="shared" si="0"/>
        <v>-78296</v>
      </c>
    </row>
    <row r="25" spans="1:9" ht="14.25" customHeight="1" x14ac:dyDescent="0.35"/>
    <row r="26" spans="1:9" ht="14.25" customHeight="1" x14ac:dyDescent="0.35"/>
    <row r="27" spans="1:9" ht="14.25" customHeight="1" x14ac:dyDescent="0.35"/>
    <row r="28" spans="1:9" ht="14.25" customHeight="1" x14ac:dyDescent="0.35"/>
    <row r="29" spans="1:9" ht="14.25" customHeight="1" x14ac:dyDescent="0.35"/>
    <row r="30" spans="1:9" ht="14.25" customHeight="1" x14ac:dyDescent="0.35"/>
    <row r="31" spans="1:9" ht="14.25" customHeight="1" x14ac:dyDescent="0.35"/>
    <row r="32" spans="1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sortState xmlns:xlrd2="http://schemas.microsoft.com/office/spreadsheetml/2017/richdata2" ref="A2:E24">
    <sortCondition descending="1" ref="E2:E24"/>
  </sortState>
  <mergeCells count="1">
    <mergeCell ref="A1:E1"/>
  </mergeCells>
  <pageMargins left="0.7" right="0.7" top="0.75" bottom="0.75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6CD4-C81D-41C2-A2B7-7FE7E4485228}">
  <dimension ref="A1:O23"/>
  <sheetViews>
    <sheetView tabSelected="1" topLeftCell="B1" zoomScale="95" workbookViewId="0">
      <selection activeCell="L6" sqref="L6"/>
    </sheetView>
  </sheetViews>
  <sheetFormatPr defaultRowHeight="14.5" x14ac:dyDescent="0.35"/>
  <cols>
    <col min="7" max="7" width="12.36328125" bestFit="1" customWidth="1"/>
    <col min="8" max="8" width="6.453125" bestFit="1" customWidth="1"/>
    <col min="9" max="9" width="12.6328125" bestFit="1" customWidth="1"/>
    <col min="10" max="10" width="16.36328125" bestFit="1" customWidth="1"/>
    <col min="12" max="12" width="12.6328125" bestFit="1" customWidth="1"/>
    <col min="13" max="13" width="11.54296875" bestFit="1" customWidth="1"/>
    <col min="14" max="14" width="24.54296875" bestFit="1" customWidth="1"/>
  </cols>
  <sheetData>
    <row r="1" spans="1:15" x14ac:dyDescent="0.35">
      <c r="A1" s="71" t="s">
        <v>326</v>
      </c>
      <c r="B1" s="71" t="s">
        <v>327</v>
      </c>
      <c r="C1" s="71" t="s">
        <v>328</v>
      </c>
      <c r="D1" s="71" t="s">
        <v>329</v>
      </c>
      <c r="E1" s="71" t="s">
        <v>330</v>
      </c>
    </row>
    <row r="2" spans="1:15" x14ac:dyDescent="0.35">
      <c r="A2" s="73">
        <v>1</v>
      </c>
      <c r="B2" s="73" t="s">
        <v>369</v>
      </c>
      <c r="C2" s="74">
        <v>96175</v>
      </c>
      <c r="D2" s="74">
        <v>10999</v>
      </c>
      <c r="E2" s="74">
        <f t="shared" ref="E2:E23" si="0">C2-D2</f>
        <v>85176</v>
      </c>
    </row>
    <row r="3" spans="1:15" x14ac:dyDescent="0.35">
      <c r="A3" s="73">
        <v>1</v>
      </c>
      <c r="B3" s="73" t="s">
        <v>359</v>
      </c>
      <c r="C3" s="74">
        <v>96794</v>
      </c>
      <c r="D3" s="74">
        <v>20303</v>
      </c>
      <c r="E3" s="74">
        <f t="shared" si="0"/>
        <v>76491</v>
      </c>
    </row>
    <row r="4" spans="1:15" x14ac:dyDescent="0.35">
      <c r="A4" s="73">
        <v>4</v>
      </c>
      <c r="B4" s="73" t="s">
        <v>334</v>
      </c>
      <c r="C4" s="74">
        <v>77887</v>
      </c>
      <c r="D4" s="74">
        <v>3956</v>
      </c>
      <c r="E4" s="74">
        <f t="shared" si="0"/>
        <v>73931</v>
      </c>
    </row>
    <row r="5" spans="1:15" x14ac:dyDescent="0.35">
      <c r="A5" s="73">
        <v>4</v>
      </c>
      <c r="B5" s="73" t="s">
        <v>363</v>
      </c>
      <c r="C5" s="74">
        <v>72591</v>
      </c>
      <c r="D5" s="74">
        <v>4732</v>
      </c>
      <c r="E5" s="74">
        <f t="shared" si="0"/>
        <v>67859</v>
      </c>
      <c r="I5" s="86" t="s">
        <v>408</v>
      </c>
      <c r="J5" t="s">
        <v>413</v>
      </c>
      <c r="L5" s="86" t="s">
        <v>408</v>
      </c>
      <c r="M5" t="s">
        <v>417</v>
      </c>
    </row>
    <row r="6" spans="1:15" x14ac:dyDescent="0.35">
      <c r="A6" s="73">
        <v>1</v>
      </c>
      <c r="B6" s="73" t="s">
        <v>360</v>
      </c>
      <c r="C6" s="74">
        <v>82598</v>
      </c>
      <c r="D6" s="74">
        <v>25039</v>
      </c>
      <c r="E6" s="74">
        <f t="shared" si="0"/>
        <v>57559</v>
      </c>
      <c r="I6" s="87">
        <v>4</v>
      </c>
      <c r="J6" s="91">
        <v>119479</v>
      </c>
      <c r="L6" s="87">
        <v>1</v>
      </c>
      <c r="M6">
        <v>8</v>
      </c>
    </row>
    <row r="7" spans="1:15" x14ac:dyDescent="0.35">
      <c r="A7" s="73">
        <v>4</v>
      </c>
      <c r="B7" s="73" t="s">
        <v>353</v>
      </c>
      <c r="C7" s="74">
        <v>49404</v>
      </c>
      <c r="D7" s="74">
        <v>9744</v>
      </c>
      <c r="E7" s="74">
        <f t="shared" si="0"/>
        <v>39660</v>
      </c>
      <c r="I7" s="87">
        <v>1</v>
      </c>
      <c r="J7" s="91">
        <v>68938</v>
      </c>
      <c r="L7" s="87">
        <v>4</v>
      </c>
      <c r="M7">
        <v>6</v>
      </c>
    </row>
    <row r="8" spans="1:15" x14ac:dyDescent="0.35">
      <c r="A8" s="73">
        <v>2</v>
      </c>
      <c r="B8" s="73" t="s">
        <v>368</v>
      </c>
      <c r="C8" s="74">
        <v>46976</v>
      </c>
      <c r="D8" s="74">
        <v>14665</v>
      </c>
      <c r="E8" s="74">
        <f t="shared" si="0"/>
        <v>32311</v>
      </c>
      <c r="I8" s="87">
        <v>5</v>
      </c>
      <c r="J8" s="91">
        <v>12569</v>
      </c>
      <c r="L8" s="87">
        <v>2</v>
      </c>
      <c r="M8">
        <v>5</v>
      </c>
    </row>
    <row r="9" spans="1:15" x14ac:dyDescent="0.35">
      <c r="A9" s="73">
        <v>1</v>
      </c>
      <c r="B9" s="73" t="s">
        <v>338</v>
      </c>
      <c r="C9" s="74">
        <v>75347</v>
      </c>
      <c r="D9" s="74">
        <v>58745</v>
      </c>
      <c r="E9" s="74">
        <f t="shared" si="0"/>
        <v>16602</v>
      </c>
      <c r="I9" s="87">
        <v>2</v>
      </c>
      <c r="J9" s="91">
        <v>-36931</v>
      </c>
      <c r="L9" s="87">
        <v>3</v>
      </c>
      <c r="M9">
        <v>2</v>
      </c>
    </row>
    <row r="10" spans="1:15" x14ac:dyDescent="0.35">
      <c r="A10" s="73">
        <v>2</v>
      </c>
      <c r="B10" s="73" t="s">
        <v>346</v>
      </c>
      <c r="C10" s="74">
        <v>95624</v>
      </c>
      <c r="D10" s="74">
        <v>81633</v>
      </c>
      <c r="E10" s="74">
        <f t="shared" si="0"/>
        <v>13991</v>
      </c>
      <c r="I10" s="87">
        <v>3</v>
      </c>
      <c r="J10" s="91">
        <v>-62375</v>
      </c>
      <c r="L10" s="87">
        <v>5</v>
      </c>
      <c r="M10">
        <v>1</v>
      </c>
    </row>
    <row r="11" spans="1:15" x14ac:dyDescent="0.35">
      <c r="A11" s="73">
        <v>5</v>
      </c>
      <c r="B11" s="73" t="s">
        <v>332</v>
      </c>
      <c r="C11" s="74">
        <v>40611</v>
      </c>
      <c r="D11" s="74">
        <v>28042</v>
      </c>
      <c r="E11" s="74">
        <f t="shared" si="0"/>
        <v>12569</v>
      </c>
      <c r="I11" s="87" t="s">
        <v>409</v>
      </c>
      <c r="J11" s="91">
        <v>101680</v>
      </c>
      <c r="L11" s="87" t="s">
        <v>409</v>
      </c>
      <c r="M11">
        <v>22</v>
      </c>
    </row>
    <row r="12" spans="1:15" x14ac:dyDescent="0.35">
      <c r="A12" s="73">
        <v>1</v>
      </c>
      <c r="B12" s="73" t="s">
        <v>365</v>
      </c>
      <c r="C12" s="74">
        <v>25955</v>
      </c>
      <c r="D12" s="74">
        <v>14759</v>
      </c>
      <c r="E12" s="74">
        <f t="shared" si="0"/>
        <v>11196</v>
      </c>
      <c r="L12" s="95"/>
      <c r="M12" s="95"/>
      <c r="N12" s="95"/>
      <c r="O12" s="96"/>
    </row>
    <row r="13" spans="1:15" x14ac:dyDescent="0.35">
      <c r="A13" s="73">
        <v>2</v>
      </c>
      <c r="B13" s="73" t="s">
        <v>339</v>
      </c>
      <c r="C13" s="74">
        <v>13225</v>
      </c>
      <c r="D13" s="74">
        <v>3747</v>
      </c>
      <c r="E13" s="74">
        <f t="shared" si="0"/>
        <v>9478</v>
      </c>
    </row>
    <row r="14" spans="1:15" x14ac:dyDescent="0.35">
      <c r="A14" s="73">
        <v>4</v>
      </c>
      <c r="B14" s="73" t="s">
        <v>370</v>
      </c>
      <c r="C14" s="74">
        <v>50284</v>
      </c>
      <c r="D14" s="74">
        <v>51151</v>
      </c>
      <c r="E14" s="74">
        <f t="shared" si="0"/>
        <v>-867</v>
      </c>
    </row>
    <row r="15" spans="1:15" x14ac:dyDescent="0.35">
      <c r="A15" s="73">
        <v>3</v>
      </c>
      <c r="B15" s="73" t="s">
        <v>355</v>
      </c>
      <c r="C15" s="74">
        <v>12099</v>
      </c>
      <c r="D15" s="74">
        <v>25646</v>
      </c>
      <c r="E15" s="74">
        <f t="shared" si="0"/>
        <v>-13547</v>
      </c>
    </row>
    <row r="16" spans="1:15" x14ac:dyDescent="0.35">
      <c r="A16" s="73">
        <v>4</v>
      </c>
      <c r="B16" s="73" t="s">
        <v>367</v>
      </c>
      <c r="C16" s="74">
        <v>9800</v>
      </c>
      <c r="D16" s="74">
        <v>27335</v>
      </c>
      <c r="E16" s="74">
        <f t="shared" si="0"/>
        <v>-17535</v>
      </c>
    </row>
    <row r="17" spans="1:5" x14ac:dyDescent="0.35">
      <c r="A17" s="73">
        <v>1</v>
      </c>
      <c r="B17" s="73" t="s">
        <v>344</v>
      </c>
      <c r="C17" s="74">
        <v>59032</v>
      </c>
      <c r="D17" s="74">
        <v>91810</v>
      </c>
      <c r="E17" s="74">
        <f t="shared" si="0"/>
        <v>-32778</v>
      </c>
    </row>
    <row r="18" spans="1:5" x14ac:dyDescent="0.35">
      <c r="A18" s="73">
        <v>2</v>
      </c>
      <c r="B18" s="73" t="s">
        <v>361</v>
      </c>
      <c r="C18" s="74">
        <v>53250</v>
      </c>
      <c r="D18" s="74">
        <v>90334</v>
      </c>
      <c r="E18" s="74">
        <f t="shared" si="0"/>
        <v>-37084</v>
      </c>
    </row>
    <row r="19" spans="1:5" x14ac:dyDescent="0.35">
      <c r="A19" s="73">
        <v>4</v>
      </c>
      <c r="B19" s="73" t="s">
        <v>345</v>
      </c>
      <c r="C19" s="74">
        <v>37097</v>
      </c>
      <c r="D19" s="74">
        <v>80666</v>
      </c>
      <c r="E19" s="74">
        <f t="shared" si="0"/>
        <v>-43569</v>
      </c>
    </row>
    <row r="20" spans="1:5" x14ac:dyDescent="0.35">
      <c r="A20" s="73">
        <v>3</v>
      </c>
      <c r="B20" s="73" t="s">
        <v>347</v>
      </c>
      <c r="C20" s="74">
        <v>11987</v>
      </c>
      <c r="D20" s="74">
        <v>60815</v>
      </c>
      <c r="E20" s="74">
        <f t="shared" si="0"/>
        <v>-48828</v>
      </c>
    </row>
    <row r="21" spans="1:5" x14ac:dyDescent="0.35">
      <c r="A21" s="73">
        <v>2</v>
      </c>
      <c r="B21" s="73" t="s">
        <v>341</v>
      </c>
      <c r="C21" s="74">
        <v>27953</v>
      </c>
      <c r="D21" s="74">
        <v>83580</v>
      </c>
      <c r="E21" s="74">
        <f t="shared" si="0"/>
        <v>-55627</v>
      </c>
    </row>
    <row r="22" spans="1:5" x14ac:dyDescent="0.35">
      <c r="A22" s="73">
        <v>1</v>
      </c>
      <c r="B22" s="73" t="s">
        <v>336</v>
      </c>
      <c r="C22" s="74">
        <v>14399</v>
      </c>
      <c r="D22" s="74">
        <v>81411</v>
      </c>
      <c r="E22" s="74">
        <f t="shared" si="0"/>
        <v>-67012</v>
      </c>
    </row>
    <row r="23" spans="1:5" x14ac:dyDescent="0.35">
      <c r="A23" s="73">
        <v>1</v>
      </c>
      <c r="B23" s="73" t="s">
        <v>349</v>
      </c>
      <c r="C23" s="74">
        <v>13448</v>
      </c>
      <c r="D23" s="74">
        <v>91744</v>
      </c>
      <c r="E23" s="74">
        <f t="shared" si="0"/>
        <v>-78296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showGridLines="0" workbookViewId="0">
      <selection activeCell="N18" sqref="N18"/>
    </sheetView>
  </sheetViews>
  <sheetFormatPr defaultColWidth="14.453125" defaultRowHeight="15" customHeight="1" x14ac:dyDescent="0.35"/>
  <cols>
    <col min="1" max="1" width="28.26953125" customWidth="1"/>
    <col min="2" max="2" width="16.7265625" customWidth="1"/>
    <col min="3" max="3" width="13.7265625" customWidth="1"/>
    <col min="4" max="26" width="8.7265625" customWidth="1"/>
  </cols>
  <sheetData>
    <row r="1" spans="1:4" ht="14.25" customHeight="1" x14ac:dyDescent="0.35">
      <c r="A1" s="129" t="s">
        <v>342</v>
      </c>
      <c r="B1" s="130"/>
      <c r="C1" s="130"/>
      <c r="D1" s="131"/>
    </row>
    <row r="2" spans="1:4" ht="14.25" customHeight="1" x14ac:dyDescent="0.35">
      <c r="A2" s="132"/>
      <c r="B2" s="133"/>
      <c r="C2" s="133"/>
      <c r="D2" s="134"/>
    </row>
    <row r="3" spans="1:4" ht="14.25" customHeight="1" x14ac:dyDescent="0.35">
      <c r="A3" s="135"/>
      <c r="B3" s="136"/>
      <c r="C3" s="136"/>
      <c r="D3" s="137"/>
    </row>
    <row r="4" spans="1:4" ht="14.25" customHeight="1" x14ac:dyDescent="0.35"/>
    <row r="5" spans="1:4" ht="14.25" customHeight="1" x14ac:dyDescent="0.35"/>
    <row r="6" spans="1:4" ht="14.25" customHeight="1" x14ac:dyDescent="0.35"/>
    <row r="7" spans="1:4" ht="14.25" customHeight="1" x14ac:dyDescent="0.35">
      <c r="A7" s="77" t="s">
        <v>348</v>
      </c>
      <c r="B7" s="78" t="s">
        <v>350</v>
      </c>
      <c r="C7" s="78" t="s">
        <v>352</v>
      </c>
    </row>
    <row r="8" spans="1:4" ht="14.25" customHeight="1" x14ac:dyDescent="0.35">
      <c r="A8" s="79" t="s">
        <v>354</v>
      </c>
      <c r="B8" s="80">
        <v>500</v>
      </c>
      <c r="C8" s="81">
        <v>0.98</v>
      </c>
    </row>
    <row r="9" spans="1:4" ht="14.25" customHeight="1" x14ac:dyDescent="0.35">
      <c r="A9" s="79" t="s">
        <v>357</v>
      </c>
      <c r="B9" s="80">
        <v>550</v>
      </c>
      <c r="C9" s="81">
        <v>0.85</v>
      </c>
    </row>
    <row r="10" spans="1:4" ht="14.25" customHeight="1" x14ac:dyDescent="0.35">
      <c r="A10" s="79" t="s">
        <v>358</v>
      </c>
      <c r="B10" s="80">
        <v>650</v>
      </c>
      <c r="C10" s="81">
        <v>0.92</v>
      </c>
    </row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D3"/>
  </mergeCells>
  <pageMargins left="0.7" right="0.7" top="0.75" bottom="0.75" header="0" footer="0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showGridLines="0" workbookViewId="0">
      <selection activeCell="K16" sqref="K16"/>
    </sheetView>
  </sheetViews>
  <sheetFormatPr defaultColWidth="14.453125" defaultRowHeight="15" customHeight="1" x14ac:dyDescent="0.35"/>
  <cols>
    <col min="1" max="3" width="8.7265625" customWidth="1"/>
    <col min="4" max="4" width="13.36328125" bestFit="1" customWidth="1"/>
    <col min="5" max="5" width="15.26953125" bestFit="1" customWidth="1"/>
    <col min="6" max="6" width="7.54296875" bestFit="1" customWidth="1"/>
    <col min="7" max="7" width="13.36328125" bestFit="1" customWidth="1"/>
    <col min="8" max="8" width="15.26953125" bestFit="1" customWidth="1"/>
    <col min="9" max="10" width="7.54296875" bestFit="1" customWidth="1"/>
    <col min="11" max="11" width="11.90625" bestFit="1" customWidth="1"/>
    <col min="12" max="12" width="17.6328125" bestFit="1" customWidth="1"/>
    <col min="13" max="13" width="4.54296875" bestFit="1" customWidth="1"/>
    <col min="14" max="14" width="23.36328125" bestFit="1" customWidth="1"/>
    <col min="15" max="15" width="7.36328125" bestFit="1" customWidth="1"/>
    <col min="16" max="16" width="14.26953125" bestFit="1" customWidth="1"/>
    <col min="17" max="17" width="7" bestFit="1" customWidth="1"/>
    <col min="18" max="18" width="7.08984375" bestFit="1" customWidth="1"/>
    <col min="19" max="19" width="6.7265625" bestFit="1" customWidth="1"/>
    <col min="20" max="20" width="6" bestFit="1" customWidth="1"/>
    <col min="21" max="21" width="5.81640625" bestFit="1" customWidth="1"/>
    <col min="22" max="22" width="12.90625" bestFit="1" customWidth="1"/>
    <col min="23" max="28" width="6.453125" bestFit="1" customWidth="1"/>
    <col min="29" max="29" width="5.08984375" bestFit="1" customWidth="1"/>
    <col min="30" max="30" width="14.7265625" bestFit="1" customWidth="1"/>
    <col min="31" max="31" width="13.08984375" bestFit="1" customWidth="1"/>
    <col min="32" max="32" width="10.7265625" bestFit="1" customWidth="1"/>
  </cols>
  <sheetData>
    <row r="1" spans="1:8" ht="14.25" customHeight="1" x14ac:dyDescent="0.35">
      <c r="A1" s="138" t="s">
        <v>356</v>
      </c>
      <c r="B1" s="107"/>
      <c r="C1" s="107"/>
      <c r="D1" s="107"/>
      <c r="E1" s="107"/>
      <c r="F1" s="107"/>
      <c r="G1" s="107"/>
      <c r="H1" s="108"/>
    </row>
    <row r="2" spans="1:8" ht="14.25" customHeight="1" x14ac:dyDescent="0.35">
      <c r="A2" s="139" t="s">
        <v>362</v>
      </c>
      <c r="B2" s="107"/>
      <c r="C2" s="108"/>
    </row>
    <row r="3" spans="1:8" ht="14.25" customHeight="1" x14ac:dyDescent="0.35"/>
    <row r="4" spans="1:8" ht="14.25" customHeight="1" x14ac:dyDescent="0.35">
      <c r="A4" s="84" t="s">
        <v>415</v>
      </c>
    </row>
    <row r="5" spans="1:8" ht="14.25" customHeight="1" x14ac:dyDescent="0.35">
      <c r="A5" s="84" t="s">
        <v>416</v>
      </c>
    </row>
    <row r="6" spans="1:8" ht="14.25" customHeight="1" x14ac:dyDescent="0.35"/>
    <row r="7" spans="1:8" ht="14.25" customHeight="1" x14ac:dyDescent="0.35">
      <c r="A7" s="84" t="s">
        <v>423</v>
      </c>
    </row>
    <row r="8" spans="1:8" ht="14.25" customHeight="1" x14ac:dyDescent="0.35">
      <c r="A8" s="84" t="s">
        <v>422</v>
      </c>
    </row>
    <row r="9" spans="1:8" ht="14.25" customHeight="1" x14ac:dyDescent="0.35">
      <c r="A9" s="98" t="s">
        <v>418</v>
      </c>
    </row>
    <row r="10" spans="1:8" ht="16" customHeight="1" x14ac:dyDescent="0.35">
      <c r="A10" s="100" t="s">
        <v>424</v>
      </c>
    </row>
    <row r="11" spans="1:8" ht="14.25" customHeight="1" x14ac:dyDescent="0.35">
      <c r="A11" s="84" t="s">
        <v>421</v>
      </c>
    </row>
    <row r="12" spans="1:8" ht="14.25" customHeight="1" x14ac:dyDescent="0.35">
      <c r="A12" s="98" t="s">
        <v>420</v>
      </c>
    </row>
    <row r="13" spans="1:8" ht="14.25" customHeight="1" x14ac:dyDescent="0.35">
      <c r="A13" s="84" t="s">
        <v>419</v>
      </c>
    </row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H1"/>
    <mergeCell ref="A2:C2"/>
  </mergeCells>
  <phoneticPr fontId="19" type="noConversion"/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00"/>
  <sheetViews>
    <sheetView showGridLines="0" workbookViewId="0">
      <selection activeCell="F18" sqref="F18"/>
    </sheetView>
  </sheetViews>
  <sheetFormatPr defaultColWidth="14.453125" defaultRowHeight="15" customHeight="1" x14ac:dyDescent="0.35"/>
  <cols>
    <col min="1" max="26" width="8.7265625" customWidth="1"/>
  </cols>
  <sheetData>
    <row r="1" spans="1:4" ht="14.25" customHeight="1" x14ac:dyDescent="0.35">
      <c r="A1" s="140" t="s">
        <v>371</v>
      </c>
      <c r="B1" s="130"/>
      <c r="C1" s="130"/>
      <c r="D1" s="131"/>
    </row>
    <row r="2" spans="1:4" ht="14.25" customHeight="1" x14ac:dyDescent="0.35">
      <c r="A2" s="132"/>
      <c r="B2" s="133"/>
      <c r="C2" s="133"/>
      <c r="D2" s="134"/>
    </row>
    <row r="3" spans="1:4" ht="14.25" customHeight="1" x14ac:dyDescent="0.35">
      <c r="A3" s="132"/>
      <c r="B3" s="133"/>
      <c r="C3" s="133"/>
      <c r="D3" s="134"/>
    </row>
    <row r="4" spans="1:4" ht="14.25" customHeight="1" x14ac:dyDescent="0.35">
      <c r="A4" s="135"/>
      <c r="B4" s="136"/>
      <c r="C4" s="136"/>
      <c r="D4" s="137"/>
    </row>
    <row r="5" spans="1:4" ht="14.25" customHeight="1" x14ac:dyDescent="0.35"/>
    <row r="6" spans="1:4" ht="14.25" customHeight="1" x14ac:dyDescent="0.35">
      <c r="A6" s="84" t="s">
        <v>425</v>
      </c>
    </row>
    <row r="7" spans="1:4" ht="14.25" customHeight="1" x14ac:dyDescent="0.35">
      <c r="A7" s="84" t="s">
        <v>426</v>
      </c>
    </row>
    <row r="8" spans="1:4" ht="14.25" customHeight="1" x14ac:dyDescent="0.35">
      <c r="A8" s="84" t="s">
        <v>427</v>
      </c>
    </row>
    <row r="9" spans="1:4" ht="14.25" customHeight="1" x14ac:dyDescent="0.35">
      <c r="A9" s="84" t="s">
        <v>428</v>
      </c>
    </row>
    <row r="10" spans="1:4" ht="14.25" customHeight="1" x14ac:dyDescent="0.35">
      <c r="A10" s="84" t="s">
        <v>429</v>
      </c>
    </row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D4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00"/>
  <sheetViews>
    <sheetView showGridLines="0" topLeftCell="A3" workbookViewId="0">
      <selection activeCell="D6" sqref="D6"/>
    </sheetView>
  </sheetViews>
  <sheetFormatPr defaultColWidth="14.453125" defaultRowHeight="15" customHeight="1" x14ac:dyDescent="0.35"/>
  <cols>
    <col min="1" max="3" width="8.7265625" customWidth="1"/>
    <col min="4" max="4" width="15.453125" customWidth="1"/>
    <col min="5" max="26" width="8.7265625" customWidth="1"/>
  </cols>
  <sheetData>
    <row r="1" spans="1:13" ht="14.25" customHeight="1" x14ac:dyDescent="0.35">
      <c r="A1" s="141" t="s">
        <v>372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3" ht="14.25" customHeight="1" x14ac:dyDescent="0.35"/>
    <row r="3" spans="1:13" ht="14.25" customHeight="1" x14ac:dyDescent="0.35">
      <c r="B3" s="7" t="s">
        <v>373</v>
      </c>
      <c r="C3" s="7" t="s">
        <v>374</v>
      </c>
      <c r="D3" s="7" t="s">
        <v>375</v>
      </c>
    </row>
    <row r="4" spans="1:13" ht="14.25" customHeight="1" x14ac:dyDescent="0.35">
      <c r="B4" s="7" t="s">
        <v>376</v>
      </c>
      <c r="C4" s="9">
        <f>HLOOKUP(B4,$B$11:$M$12,2,FALSE)</f>
        <v>16039</v>
      </c>
      <c r="D4" s="9">
        <f>INDEX($B$11:$M$12,2,MATCH(B4,$B$11:$M$11,0))</f>
        <v>16039</v>
      </c>
    </row>
    <row r="5" spans="1:13" ht="14.25" customHeight="1" x14ac:dyDescent="0.35">
      <c r="B5" s="7" t="s">
        <v>377</v>
      </c>
      <c r="C5" s="9">
        <f t="shared" ref="C5:C6" si="0">HLOOKUP(B5,$B$11:$M$12,2,FALSE)</f>
        <v>5155</v>
      </c>
      <c r="D5" s="9">
        <f t="shared" ref="D5:D6" si="1">INDEX($B$11:$M$12,2,MATCH(B5,$B$11:$M$11,0))</f>
        <v>5155</v>
      </c>
    </row>
    <row r="6" spans="1:13" ht="14.25" customHeight="1" x14ac:dyDescent="0.35">
      <c r="B6" s="7" t="s">
        <v>378</v>
      </c>
      <c r="C6" s="9">
        <f t="shared" si="0"/>
        <v>5783</v>
      </c>
      <c r="D6" s="9">
        <f t="shared" si="1"/>
        <v>5783</v>
      </c>
    </row>
    <row r="7" spans="1:13" ht="14.25" customHeight="1" x14ac:dyDescent="0.35">
      <c r="J7" s="97" t="s">
        <v>414</v>
      </c>
    </row>
    <row r="8" spans="1:13" ht="14.25" customHeight="1" x14ac:dyDescent="0.35"/>
    <row r="9" spans="1:13" ht="14.25" customHeight="1" x14ac:dyDescent="0.35"/>
    <row r="10" spans="1:13" ht="14.25" customHeight="1" x14ac:dyDescent="0.35"/>
    <row r="11" spans="1:13" ht="14.25" customHeight="1" x14ac:dyDescent="0.35">
      <c r="B11" s="82" t="s">
        <v>379</v>
      </c>
      <c r="C11" s="83" t="s">
        <v>376</v>
      </c>
      <c r="D11" s="83" t="s">
        <v>380</v>
      </c>
      <c r="E11" s="83" t="s">
        <v>378</v>
      </c>
      <c r="F11" s="83" t="s">
        <v>381</v>
      </c>
      <c r="G11" s="83" t="s">
        <v>382</v>
      </c>
      <c r="H11" s="83" t="s">
        <v>383</v>
      </c>
      <c r="I11" s="83" t="s">
        <v>384</v>
      </c>
      <c r="J11" s="83" t="s">
        <v>385</v>
      </c>
      <c r="K11" s="83" t="s">
        <v>377</v>
      </c>
      <c r="L11" s="83" t="s">
        <v>386</v>
      </c>
      <c r="M11" s="83" t="s">
        <v>387</v>
      </c>
    </row>
    <row r="12" spans="1:13" ht="14.25" customHeight="1" x14ac:dyDescent="0.35">
      <c r="B12" s="82" t="s">
        <v>388</v>
      </c>
      <c r="C12" s="83">
        <v>16039</v>
      </c>
      <c r="D12" s="83">
        <v>34051</v>
      </c>
      <c r="E12" s="83">
        <v>5783</v>
      </c>
      <c r="F12" s="83">
        <v>40982</v>
      </c>
      <c r="G12" s="83">
        <v>24920</v>
      </c>
      <c r="H12" s="83">
        <v>36166</v>
      </c>
      <c r="I12" s="83">
        <v>24168</v>
      </c>
      <c r="J12" s="83">
        <v>22349</v>
      </c>
      <c r="K12" s="83">
        <v>5155</v>
      </c>
      <c r="L12" s="83">
        <v>32135</v>
      </c>
      <c r="M12" s="83">
        <v>32655</v>
      </c>
    </row>
    <row r="13" spans="1:13" ht="14.25" customHeight="1" x14ac:dyDescent="0.35"/>
    <row r="14" spans="1:13" ht="14.25" customHeight="1" x14ac:dyDescent="0.35"/>
    <row r="15" spans="1:13" ht="14.25" customHeight="1" x14ac:dyDescent="0.35"/>
    <row r="16" spans="1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K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q21.pivot table</vt:lpstr>
      <vt:lpstr>Q22</vt:lpstr>
      <vt:lpstr>Q23</vt:lpstr>
      <vt:lpstr>Q24</vt:lpstr>
      <vt:lpstr>Q25</vt:lpstr>
      <vt:lpstr>ANAND</vt:lpstr>
      <vt:lpstr>ga</vt:lpstr>
      <vt:lpstr>SURESH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aimanunnisa283@gmail.com</cp:lastModifiedBy>
  <dcterms:created xsi:type="dcterms:W3CDTF">2021-04-30T05:55:08Z</dcterms:created>
  <dcterms:modified xsi:type="dcterms:W3CDTF">2026-10-15T04:51:06Z</dcterms:modified>
</cp:coreProperties>
</file>